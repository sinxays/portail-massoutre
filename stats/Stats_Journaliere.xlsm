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OPERATIONS\stats_journaliere\"/>
    </mc:Choice>
  </mc:AlternateContent>
  <bookViews>
    <workbookView xWindow="0" yWindow="0" windowWidth="2910" windowHeight="195" activeTab="1"/>
  </bookViews>
  <sheets>
    <sheet name="Codes_agences" sheetId="2" r:id="rId1"/>
    <sheet name="VP" sheetId="4" r:id="rId2"/>
    <sheet name="VU" sheetId="5" r:id="rId3"/>
    <sheet name="CUMUL" sheetId="6" r:id="rId4"/>
    <sheet name="CALCUL_DATE" sheetId="10" r:id="rId5"/>
    <sheet name="Resultats" sheetId="1" r:id="rId6"/>
    <sheet name="Resultats_N1" sheetId="12" state="hidden" r:id="rId7"/>
    <sheet name="couleurs_dates" sheetId="11" state="hidden" r:id="rId8"/>
  </sheets>
  <functionGroups builtInGroupCount="18"/>
  <definedNames>
    <definedName name="_xlnm.Print_Titles" localSheetId="3">CUMUL!$1:$1</definedName>
    <definedName name="_xlnm.Print_Titles" localSheetId="1">VP!$1:$1</definedName>
    <definedName name="_xlnm.Print_Titles" localSheetId="2">VU!$1:$1</definedName>
    <definedName name="_xlnm.Print_Area" localSheetId="1">VP!$A$1:$R$71</definedName>
  </definedNames>
  <calcPr calcId="162913" iterateDelta="1E-4"/>
</workbook>
</file>

<file path=xl/calcChain.xml><?xml version="1.0" encoding="utf-8"?>
<calcChain xmlns="http://schemas.openxmlformats.org/spreadsheetml/2006/main">
  <c r="T69" i="5" l="1"/>
  <c r="S69" i="5"/>
  <c r="T69" i="4"/>
  <c r="S69" i="4"/>
  <c r="Q69" i="5"/>
  <c r="L69" i="5"/>
  <c r="J69" i="5"/>
  <c r="E69" i="5"/>
  <c r="C69" i="5" s="1"/>
  <c r="Q69" i="4"/>
  <c r="L69" i="4"/>
  <c r="J69" i="4"/>
  <c r="E69" i="4"/>
  <c r="C69" i="4" s="1"/>
  <c r="E69" i="6" l="1"/>
  <c r="C69" i="6"/>
  <c r="J69" i="6"/>
  <c r="L69" i="6"/>
  <c r="Q69" i="6"/>
  <c r="T69" i="6"/>
  <c r="S69" i="6"/>
  <c r="Q46" i="4"/>
  <c r="P46" i="4"/>
  <c r="L46" i="4"/>
  <c r="K46" i="4"/>
  <c r="J46" i="4"/>
  <c r="I46" i="4"/>
  <c r="H46" i="4"/>
  <c r="F46" i="4"/>
  <c r="E46" i="4"/>
  <c r="B46" i="4"/>
  <c r="H69" i="6" l="1"/>
  <c r="P69" i="5"/>
  <c r="K69" i="5"/>
  <c r="I69" i="5"/>
  <c r="H69" i="5"/>
  <c r="F69" i="5"/>
  <c r="B69" i="5"/>
  <c r="P69" i="4"/>
  <c r="K69" i="4"/>
  <c r="I69" i="4"/>
  <c r="H69" i="4"/>
  <c r="F69" i="4"/>
  <c r="B69" i="4"/>
  <c r="K69" i="6" l="1"/>
  <c r="B69" i="6"/>
  <c r="D69" i="6" s="1"/>
  <c r="I69" i="6"/>
  <c r="P69" i="6"/>
  <c r="R69" i="6" s="1"/>
  <c r="F69" i="6"/>
  <c r="N69" i="4"/>
  <c r="D69" i="4"/>
  <c r="G69" i="4"/>
  <c r="N69" i="6" l="1"/>
  <c r="O69" i="6"/>
  <c r="G69" i="6"/>
  <c r="M69" i="6"/>
  <c r="R69" i="4"/>
  <c r="R69" i="5"/>
  <c r="M69" i="5"/>
  <c r="D69" i="5"/>
  <c r="G69" i="5"/>
  <c r="N69" i="5"/>
  <c r="O69" i="5"/>
  <c r="M69" i="4"/>
  <c r="O69" i="4"/>
  <c r="B64" i="4"/>
  <c r="Q64" i="5" l="1"/>
  <c r="Q63" i="5"/>
  <c r="Q62" i="5"/>
  <c r="Q59" i="5"/>
  <c r="Q58" i="5"/>
  <c r="Q54" i="5"/>
  <c r="Q56" i="5" s="1"/>
  <c r="Q49" i="5"/>
  <c r="Q48" i="5"/>
  <c r="Q46" i="5"/>
  <c r="Q43" i="5"/>
  <c r="Q42" i="5"/>
  <c r="Q37" i="5"/>
  <c r="Q36" i="5"/>
  <c r="Q33" i="5"/>
  <c r="Q32" i="5"/>
  <c r="Q31" i="5"/>
  <c r="Q28" i="5"/>
  <c r="Q27" i="5"/>
  <c r="Q22" i="5"/>
  <c r="Q21" i="5"/>
  <c r="Q19" i="5"/>
  <c r="Q16" i="5"/>
  <c r="Q15" i="5"/>
  <c r="Q13" i="5"/>
  <c r="Q12" i="5"/>
  <c r="Q8" i="5"/>
  <c r="Q7" i="5"/>
  <c r="Q4" i="5"/>
  <c r="Q3" i="5"/>
  <c r="Q2" i="5"/>
  <c r="L64" i="5"/>
  <c r="L63" i="5"/>
  <c r="L62" i="5"/>
  <c r="L59" i="5"/>
  <c r="L58" i="5"/>
  <c r="L54" i="5"/>
  <c r="L56" i="5" s="1"/>
  <c r="L49" i="5"/>
  <c r="L48" i="5"/>
  <c r="L46" i="5"/>
  <c r="L43" i="5"/>
  <c r="L42" i="5"/>
  <c r="L37" i="5"/>
  <c r="L36" i="5"/>
  <c r="L33" i="5"/>
  <c r="L32" i="5"/>
  <c r="L31" i="5"/>
  <c r="L28" i="5"/>
  <c r="L27" i="5"/>
  <c r="L22" i="5"/>
  <c r="L21" i="5"/>
  <c r="L19" i="5"/>
  <c r="L16" i="5"/>
  <c r="L15" i="5"/>
  <c r="L13" i="5"/>
  <c r="L12" i="5"/>
  <c r="L8" i="5"/>
  <c r="L7" i="5"/>
  <c r="L4" i="5"/>
  <c r="L3" i="5"/>
  <c r="L2" i="5"/>
  <c r="J64" i="5"/>
  <c r="J63" i="5"/>
  <c r="J62" i="5"/>
  <c r="J59" i="5"/>
  <c r="J58" i="5"/>
  <c r="J54" i="5"/>
  <c r="J56" i="5" s="1"/>
  <c r="J49" i="5"/>
  <c r="J48" i="5"/>
  <c r="J46" i="5"/>
  <c r="J43" i="5"/>
  <c r="J42" i="5"/>
  <c r="J37" i="5"/>
  <c r="J36" i="5"/>
  <c r="J33" i="5"/>
  <c r="J32" i="5"/>
  <c r="J31" i="5"/>
  <c r="J28" i="5"/>
  <c r="J27" i="5"/>
  <c r="J22" i="5"/>
  <c r="J21" i="5"/>
  <c r="J19" i="5"/>
  <c r="J16" i="5"/>
  <c r="J15" i="5"/>
  <c r="J13" i="5"/>
  <c r="J12" i="5"/>
  <c r="J8" i="5"/>
  <c r="J7" i="5"/>
  <c r="J4" i="5"/>
  <c r="J3" i="5"/>
  <c r="J2" i="5"/>
  <c r="C55" i="5"/>
  <c r="E64" i="5"/>
  <c r="C64" i="5" s="1"/>
  <c r="E63" i="5"/>
  <c r="C63" i="5" s="1"/>
  <c r="E62" i="5"/>
  <c r="C62" i="5" s="1"/>
  <c r="E59" i="5"/>
  <c r="C59" i="5" s="1"/>
  <c r="E58" i="5"/>
  <c r="E54" i="5"/>
  <c r="E56" i="5" s="1"/>
  <c r="E49" i="5"/>
  <c r="C49" i="5" s="1"/>
  <c r="E48" i="5"/>
  <c r="C48" i="5" s="1"/>
  <c r="E46" i="5"/>
  <c r="E43" i="5"/>
  <c r="C43" i="5" s="1"/>
  <c r="E42" i="5"/>
  <c r="E37" i="5"/>
  <c r="C37" i="5" s="1"/>
  <c r="E36" i="5"/>
  <c r="C36" i="5" s="1"/>
  <c r="E33" i="5"/>
  <c r="E32" i="5"/>
  <c r="C32" i="5" s="1"/>
  <c r="E31" i="5"/>
  <c r="C31" i="5" s="1"/>
  <c r="E28" i="5"/>
  <c r="C28" i="5" s="1"/>
  <c r="E27" i="5"/>
  <c r="C27" i="5" s="1"/>
  <c r="E22" i="5"/>
  <c r="E21" i="5"/>
  <c r="C21" i="5" s="1"/>
  <c r="E19" i="5"/>
  <c r="C19" i="5" s="1"/>
  <c r="E16" i="5"/>
  <c r="C16" i="5" s="1"/>
  <c r="E15" i="5"/>
  <c r="C15" i="5" s="1"/>
  <c r="E13" i="5"/>
  <c r="C13" i="5" s="1"/>
  <c r="E12" i="5"/>
  <c r="C12" i="5" s="1"/>
  <c r="E8" i="5"/>
  <c r="C8" i="5" s="1"/>
  <c r="E7" i="5"/>
  <c r="C7" i="5" s="1"/>
  <c r="E4" i="5"/>
  <c r="C4" i="5" s="1"/>
  <c r="E3" i="5"/>
  <c r="C3" i="5" s="1"/>
  <c r="E2" i="5"/>
  <c r="Q64" i="4"/>
  <c r="Q63" i="4"/>
  <c r="Q62" i="4"/>
  <c r="Q59" i="4"/>
  <c r="Q58" i="4"/>
  <c r="Q55" i="4"/>
  <c r="Q55" i="6" s="1"/>
  <c r="Q54" i="4"/>
  <c r="Q49" i="4"/>
  <c r="Q48" i="4"/>
  <c r="Q43" i="4"/>
  <c r="Q42" i="4"/>
  <c r="Q37" i="4"/>
  <c r="Q36" i="4"/>
  <c r="Q33" i="4"/>
  <c r="Q32" i="4"/>
  <c r="Q31" i="4"/>
  <c r="Q28" i="4"/>
  <c r="Q27" i="4"/>
  <c r="Q22" i="4"/>
  <c r="Q21" i="4"/>
  <c r="Q19" i="4"/>
  <c r="Q16" i="4"/>
  <c r="Q15" i="4"/>
  <c r="Q12" i="4"/>
  <c r="Q8" i="4"/>
  <c r="Q7" i="4"/>
  <c r="Q4" i="4"/>
  <c r="Q3" i="4"/>
  <c r="Q2" i="4"/>
  <c r="Q13" i="4"/>
  <c r="L64" i="4"/>
  <c r="L63" i="4"/>
  <c r="L62" i="4"/>
  <c r="L59" i="4"/>
  <c r="L58" i="4"/>
  <c r="L55" i="4"/>
  <c r="L55" i="6" s="1"/>
  <c r="L54" i="4"/>
  <c r="L49" i="4"/>
  <c r="L48" i="4"/>
  <c r="L43" i="4"/>
  <c r="L42" i="4"/>
  <c r="L37" i="4"/>
  <c r="L36" i="4"/>
  <c r="L33" i="4"/>
  <c r="L32" i="4"/>
  <c r="L31" i="4"/>
  <c r="L28" i="4"/>
  <c r="L27" i="4"/>
  <c r="L22" i="4"/>
  <c r="L21" i="4"/>
  <c r="L19" i="4"/>
  <c r="L16" i="4"/>
  <c r="L15" i="4"/>
  <c r="L13" i="4"/>
  <c r="L12" i="4"/>
  <c r="L8" i="4"/>
  <c r="L7" i="4"/>
  <c r="L4" i="4"/>
  <c r="L3" i="4"/>
  <c r="L2" i="4"/>
  <c r="J64" i="4"/>
  <c r="J63" i="4"/>
  <c r="J62" i="4"/>
  <c r="J59" i="4"/>
  <c r="J58" i="4"/>
  <c r="J55" i="4"/>
  <c r="J55" i="6" s="1"/>
  <c r="J54" i="4"/>
  <c r="J49" i="4"/>
  <c r="J48" i="4"/>
  <c r="J43" i="4"/>
  <c r="J42" i="4"/>
  <c r="J37" i="4"/>
  <c r="J36" i="4"/>
  <c r="J33" i="4"/>
  <c r="J32" i="4"/>
  <c r="J31" i="4"/>
  <c r="J28" i="4"/>
  <c r="J27" i="4"/>
  <c r="J22" i="4"/>
  <c r="J21" i="4"/>
  <c r="J19" i="4"/>
  <c r="J16" i="4"/>
  <c r="J15" i="4"/>
  <c r="J13" i="4"/>
  <c r="J12" i="4"/>
  <c r="J8" i="4"/>
  <c r="J7" i="4"/>
  <c r="J4" i="4"/>
  <c r="J3" i="4"/>
  <c r="J2" i="4"/>
  <c r="E64" i="4"/>
  <c r="C64" i="4" s="1"/>
  <c r="E63" i="4"/>
  <c r="E62" i="4"/>
  <c r="E59" i="4"/>
  <c r="E58" i="4"/>
  <c r="E55" i="4"/>
  <c r="C55" i="4" s="1"/>
  <c r="E54" i="4"/>
  <c r="E49" i="4"/>
  <c r="E48" i="4"/>
  <c r="E43" i="4"/>
  <c r="C43" i="4" s="1"/>
  <c r="E42" i="4"/>
  <c r="E37" i="4"/>
  <c r="C37" i="4" s="1"/>
  <c r="E36" i="4"/>
  <c r="C36" i="4" s="1"/>
  <c r="E33" i="4"/>
  <c r="E32" i="4"/>
  <c r="E31" i="4"/>
  <c r="E28" i="4"/>
  <c r="C28" i="4" s="1"/>
  <c r="E27" i="4"/>
  <c r="C27" i="4" s="1"/>
  <c r="E22" i="4"/>
  <c r="C22" i="4" s="1"/>
  <c r="E21" i="4"/>
  <c r="E19" i="4"/>
  <c r="E16" i="4"/>
  <c r="E15" i="4"/>
  <c r="C15" i="4" s="1"/>
  <c r="E13" i="4"/>
  <c r="C13" i="4" s="1"/>
  <c r="E12" i="4"/>
  <c r="C12" i="4" s="1"/>
  <c r="E8" i="4"/>
  <c r="C8" i="4" s="1"/>
  <c r="E7" i="4"/>
  <c r="E4" i="4"/>
  <c r="E3" i="4"/>
  <c r="C3" i="4" s="1"/>
  <c r="E2" i="4"/>
  <c r="C2" i="4" s="1"/>
  <c r="H71" i="4"/>
  <c r="H67" i="4"/>
  <c r="H65" i="4"/>
  <c r="T64" i="4"/>
  <c r="S64" i="4"/>
  <c r="P64" i="4"/>
  <c r="K64" i="4"/>
  <c r="I64" i="4"/>
  <c r="H64" i="4"/>
  <c r="F64" i="4"/>
  <c r="T63" i="4"/>
  <c r="S63" i="4"/>
  <c r="P63" i="4"/>
  <c r="K63" i="4"/>
  <c r="I63" i="4"/>
  <c r="H63" i="4"/>
  <c r="F63" i="4"/>
  <c r="B63" i="4"/>
  <c r="T62" i="4"/>
  <c r="S62" i="4"/>
  <c r="P62" i="4"/>
  <c r="K62" i="4"/>
  <c r="I62" i="4"/>
  <c r="H62" i="4"/>
  <c r="F62" i="4"/>
  <c r="B62" i="4"/>
  <c r="H60" i="4"/>
  <c r="T59" i="4"/>
  <c r="S59" i="4"/>
  <c r="P59" i="4"/>
  <c r="K59" i="4"/>
  <c r="I59" i="4"/>
  <c r="H59" i="4"/>
  <c r="F59" i="4"/>
  <c r="B59" i="4"/>
  <c r="T58" i="4"/>
  <c r="S58" i="4"/>
  <c r="P58" i="4"/>
  <c r="K58" i="4"/>
  <c r="I58" i="4"/>
  <c r="H58" i="4"/>
  <c r="F58" i="4"/>
  <c r="B58" i="4"/>
  <c r="H56" i="4"/>
  <c r="T55" i="4"/>
  <c r="S55" i="4"/>
  <c r="P55" i="4"/>
  <c r="K55" i="4"/>
  <c r="I55" i="4"/>
  <c r="H55" i="4"/>
  <c r="F55" i="4"/>
  <c r="B55" i="4"/>
  <c r="T54" i="4"/>
  <c r="S54" i="4"/>
  <c r="P54" i="4"/>
  <c r="K54" i="4"/>
  <c r="I54" i="4"/>
  <c r="H54" i="4"/>
  <c r="F54" i="4"/>
  <c r="B54" i="4"/>
  <c r="H52" i="4"/>
  <c r="H50" i="4"/>
  <c r="T49" i="4"/>
  <c r="S49" i="4"/>
  <c r="P49" i="4"/>
  <c r="K49" i="4"/>
  <c r="I49" i="4"/>
  <c r="H49" i="4"/>
  <c r="F49" i="4"/>
  <c r="B49" i="4"/>
  <c r="T48" i="4"/>
  <c r="S48" i="4"/>
  <c r="P48" i="4"/>
  <c r="K48" i="4"/>
  <c r="I48" i="4"/>
  <c r="H48" i="4"/>
  <c r="F48" i="4"/>
  <c r="B48" i="4"/>
  <c r="T46" i="4"/>
  <c r="S46" i="4"/>
  <c r="H44" i="4"/>
  <c r="T43" i="4"/>
  <c r="S43" i="4"/>
  <c r="P43" i="4"/>
  <c r="K43" i="4"/>
  <c r="I43" i="4"/>
  <c r="H43" i="4"/>
  <c r="F43" i="4"/>
  <c r="B43" i="4"/>
  <c r="T42" i="4"/>
  <c r="S42" i="4"/>
  <c r="P42" i="4"/>
  <c r="K42" i="4"/>
  <c r="I42" i="4"/>
  <c r="H42" i="4"/>
  <c r="F42" i="4"/>
  <c r="B42" i="4"/>
  <c r="H40" i="4"/>
  <c r="H38" i="4"/>
  <c r="T37" i="4"/>
  <c r="S37" i="4"/>
  <c r="P37" i="4"/>
  <c r="K37" i="4"/>
  <c r="I37" i="4"/>
  <c r="H37" i="4"/>
  <c r="F37" i="4"/>
  <c r="B37" i="4"/>
  <c r="T36" i="4"/>
  <c r="S36" i="4"/>
  <c r="P36" i="4"/>
  <c r="K36" i="4"/>
  <c r="I36" i="4"/>
  <c r="H36" i="4"/>
  <c r="F36" i="4"/>
  <c r="B36" i="4"/>
  <c r="H34" i="4"/>
  <c r="T33" i="4"/>
  <c r="S33" i="4"/>
  <c r="P33" i="4"/>
  <c r="K33" i="4"/>
  <c r="I33" i="4"/>
  <c r="H33" i="4"/>
  <c r="F33" i="4"/>
  <c r="B33" i="4"/>
  <c r="T32" i="4"/>
  <c r="S32" i="4"/>
  <c r="P32" i="4"/>
  <c r="K32" i="4"/>
  <c r="I32" i="4"/>
  <c r="H32" i="4"/>
  <c r="F32" i="4"/>
  <c r="B32" i="4"/>
  <c r="T31" i="4"/>
  <c r="S31" i="4"/>
  <c r="P31" i="4"/>
  <c r="K31" i="4"/>
  <c r="I31" i="4"/>
  <c r="H31" i="4"/>
  <c r="F31" i="4"/>
  <c r="B31" i="4"/>
  <c r="H29" i="4"/>
  <c r="T28" i="4"/>
  <c r="S28" i="4"/>
  <c r="P28" i="4"/>
  <c r="K28" i="4"/>
  <c r="I28" i="4"/>
  <c r="H28" i="4"/>
  <c r="F28" i="4"/>
  <c r="B28" i="4"/>
  <c r="T27" i="4"/>
  <c r="S27" i="4"/>
  <c r="P27" i="4"/>
  <c r="K27" i="4"/>
  <c r="I27" i="4"/>
  <c r="H27" i="4"/>
  <c r="F27" i="4"/>
  <c r="B27" i="4"/>
  <c r="H25" i="4"/>
  <c r="H23" i="4"/>
  <c r="T22" i="4"/>
  <c r="S22" i="4"/>
  <c r="P22" i="4"/>
  <c r="K22" i="4"/>
  <c r="I22" i="4"/>
  <c r="H22" i="4"/>
  <c r="F22" i="4"/>
  <c r="B22" i="4"/>
  <c r="T21" i="4"/>
  <c r="S21" i="4"/>
  <c r="P21" i="4"/>
  <c r="K21" i="4"/>
  <c r="I21" i="4"/>
  <c r="H21" i="4"/>
  <c r="F21" i="4"/>
  <c r="B21" i="4"/>
  <c r="T19" i="4"/>
  <c r="S19" i="4"/>
  <c r="P19" i="4"/>
  <c r="K19" i="4"/>
  <c r="I19" i="4"/>
  <c r="H19" i="4"/>
  <c r="F19" i="4"/>
  <c r="B19" i="4"/>
  <c r="H17" i="4"/>
  <c r="T16" i="4"/>
  <c r="S16" i="4"/>
  <c r="P16" i="4"/>
  <c r="K16" i="4"/>
  <c r="I16" i="4"/>
  <c r="H16" i="4"/>
  <c r="F16" i="4"/>
  <c r="B16" i="4"/>
  <c r="T15" i="4"/>
  <c r="S15" i="4"/>
  <c r="P15" i="4"/>
  <c r="K15" i="4"/>
  <c r="I15" i="4"/>
  <c r="H15" i="4"/>
  <c r="F15" i="4"/>
  <c r="B15" i="4"/>
  <c r="T13" i="4"/>
  <c r="S13" i="4"/>
  <c r="P13" i="4"/>
  <c r="K13" i="4"/>
  <c r="I13" i="4"/>
  <c r="H13" i="4"/>
  <c r="F13" i="4"/>
  <c r="B13" i="4"/>
  <c r="T12" i="4"/>
  <c r="S12" i="4"/>
  <c r="P12" i="4"/>
  <c r="K12" i="4"/>
  <c r="I12" i="4"/>
  <c r="H12" i="4"/>
  <c r="F12" i="4"/>
  <c r="B12" i="4"/>
  <c r="H10" i="4"/>
  <c r="T8" i="4"/>
  <c r="S8" i="4"/>
  <c r="P8" i="4"/>
  <c r="K8" i="4"/>
  <c r="I8" i="4"/>
  <c r="H8" i="4"/>
  <c r="F8" i="4"/>
  <c r="B8" i="4"/>
  <c r="T7" i="4"/>
  <c r="S7" i="4"/>
  <c r="P7" i="4"/>
  <c r="K7" i="4"/>
  <c r="I7" i="4"/>
  <c r="H7" i="4"/>
  <c r="F7" i="4"/>
  <c r="B7" i="4"/>
  <c r="H5" i="4"/>
  <c r="T4" i="4"/>
  <c r="S4" i="4"/>
  <c r="P4" i="4"/>
  <c r="K4" i="4"/>
  <c r="I4" i="4"/>
  <c r="H4" i="4"/>
  <c r="F4" i="4"/>
  <c r="B4" i="4"/>
  <c r="T3" i="4"/>
  <c r="S3" i="4"/>
  <c r="P3" i="4"/>
  <c r="K3" i="4"/>
  <c r="I3" i="4"/>
  <c r="H3" i="4"/>
  <c r="F3" i="4"/>
  <c r="B3" i="4"/>
  <c r="T2" i="4"/>
  <c r="S2" i="4"/>
  <c r="P2" i="4"/>
  <c r="K2" i="4"/>
  <c r="I2" i="4"/>
  <c r="H2" i="4"/>
  <c r="F2" i="4"/>
  <c r="B2" i="4"/>
  <c r="Q54" i="6" l="1"/>
  <c r="Q56" i="6" s="1"/>
  <c r="J44" i="4"/>
  <c r="C54" i="4"/>
  <c r="E54" i="6"/>
  <c r="C54" i="6" s="1"/>
  <c r="L54" i="6"/>
  <c r="L56" i="6" s="1"/>
  <c r="J54" i="6"/>
  <c r="J56" i="6" s="1"/>
  <c r="B44" i="4"/>
  <c r="I44" i="4"/>
  <c r="P44" i="4"/>
  <c r="K44" i="4"/>
  <c r="J44" i="5"/>
  <c r="Q44" i="5"/>
  <c r="C42" i="5"/>
  <c r="C44" i="5" s="1"/>
  <c r="E44" i="5"/>
  <c r="L44" i="5"/>
  <c r="Q44" i="4"/>
  <c r="L44" i="4"/>
  <c r="C42" i="4"/>
  <c r="C44" i="4" s="1"/>
  <c r="E44" i="4"/>
  <c r="F44" i="4"/>
  <c r="E63" i="6"/>
  <c r="C63" i="6" s="1"/>
  <c r="E19" i="6"/>
  <c r="C19" i="6" s="1"/>
  <c r="E32" i="6"/>
  <c r="C32" i="6" s="1"/>
  <c r="E21" i="6"/>
  <c r="C21" i="6" s="1"/>
  <c r="E33" i="6"/>
  <c r="C33" i="6" s="1"/>
  <c r="E46" i="6"/>
  <c r="C46" i="6" s="1"/>
  <c r="E60" i="5"/>
  <c r="E50" i="5"/>
  <c r="E65" i="5"/>
  <c r="E5" i="5"/>
  <c r="E10" i="5" s="1"/>
  <c r="E59" i="6"/>
  <c r="C59" i="6" s="1"/>
  <c r="E49" i="6"/>
  <c r="C49" i="6" s="1"/>
  <c r="E62" i="6"/>
  <c r="C62" i="6" s="1"/>
  <c r="E38" i="5"/>
  <c r="C2" i="5"/>
  <c r="C5" i="5" s="1"/>
  <c r="C10" i="5" s="1"/>
  <c r="E58" i="6"/>
  <c r="C58" i="6" s="1"/>
  <c r="Q63" i="6"/>
  <c r="B65" i="4"/>
  <c r="Q12" i="6"/>
  <c r="C58" i="5"/>
  <c r="C60" i="5" s="1"/>
  <c r="E7" i="6"/>
  <c r="C7" i="6" s="1"/>
  <c r="E16" i="6"/>
  <c r="C16" i="6" s="1"/>
  <c r="E34" i="4"/>
  <c r="C16" i="4"/>
  <c r="E17" i="4"/>
  <c r="E2" i="6"/>
  <c r="C2" i="6" s="1"/>
  <c r="E50" i="4"/>
  <c r="C63" i="4"/>
  <c r="E27" i="6"/>
  <c r="C27" i="6" s="1"/>
  <c r="E5" i="4"/>
  <c r="E10" i="4" s="1"/>
  <c r="C21" i="4"/>
  <c r="C46" i="4"/>
  <c r="E12" i="6"/>
  <c r="C12" i="6" s="1"/>
  <c r="E36" i="6"/>
  <c r="C36" i="6" s="1"/>
  <c r="E55" i="6"/>
  <c r="C55" i="6" s="1"/>
  <c r="C31" i="4"/>
  <c r="E13" i="6"/>
  <c r="C13" i="6" s="1"/>
  <c r="E37" i="6"/>
  <c r="C37" i="6" s="1"/>
  <c r="E56" i="4"/>
  <c r="C32" i="4"/>
  <c r="Q13" i="6"/>
  <c r="Q48" i="6"/>
  <c r="E43" i="6"/>
  <c r="C43" i="6" s="1"/>
  <c r="E64" i="6"/>
  <c r="C64" i="6" s="1"/>
  <c r="E38" i="4"/>
  <c r="C33" i="4"/>
  <c r="E22" i="6"/>
  <c r="C22" i="6" s="1"/>
  <c r="C19" i="4"/>
  <c r="E8" i="6"/>
  <c r="C8" i="6" s="1"/>
  <c r="L31" i="6"/>
  <c r="J2" i="6"/>
  <c r="J36" i="6"/>
  <c r="Q22" i="6"/>
  <c r="J38" i="5"/>
  <c r="Q62" i="6"/>
  <c r="L7" i="6"/>
  <c r="L32" i="6"/>
  <c r="Q59" i="6"/>
  <c r="E34" i="5"/>
  <c r="E23" i="4"/>
  <c r="C58" i="4"/>
  <c r="E17" i="5"/>
  <c r="E23" i="5"/>
  <c r="C54" i="5"/>
  <c r="C56" i="5" s="1"/>
  <c r="E3" i="6"/>
  <c r="C3" i="6" s="1"/>
  <c r="E15" i="6"/>
  <c r="E28" i="6"/>
  <c r="C28" i="6" s="1"/>
  <c r="E42" i="6"/>
  <c r="E60" i="4"/>
  <c r="C48" i="4"/>
  <c r="C59" i="4"/>
  <c r="J4" i="6"/>
  <c r="J15" i="6"/>
  <c r="Q42" i="6"/>
  <c r="E29" i="5"/>
  <c r="C33" i="5"/>
  <c r="C34" i="5" s="1"/>
  <c r="C46" i="5"/>
  <c r="E4" i="6"/>
  <c r="C4" i="6" s="1"/>
  <c r="E31" i="6"/>
  <c r="C31" i="6" s="1"/>
  <c r="E48" i="6"/>
  <c r="C48" i="6" s="1"/>
  <c r="C4" i="4"/>
  <c r="C7" i="4"/>
  <c r="E65" i="4"/>
  <c r="E29" i="4"/>
  <c r="C49" i="4"/>
  <c r="C62" i="4"/>
  <c r="C22" i="5"/>
  <c r="C23" i="5" s="1"/>
  <c r="L2" i="6"/>
  <c r="J19" i="6"/>
  <c r="J32" i="6"/>
  <c r="Q65" i="5"/>
  <c r="Q8" i="6"/>
  <c r="L13" i="6"/>
  <c r="Q58" i="6"/>
  <c r="Q34" i="5"/>
  <c r="L63" i="6"/>
  <c r="Q43" i="6"/>
  <c r="L21" i="6"/>
  <c r="L60" i="5"/>
  <c r="J28" i="6"/>
  <c r="J43" i="6"/>
  <c r="Q23" i="5"/>
  <c r="C29" i="5"/>
  <c r="J50" i="5"/>
  <c r="J7" i="6"/>
  <c r="J21" i="6"/>
  <c r="J37" i="6"/>
  <c r="Q23" i="4"/>
  <c r="J60" i="5"/>
  <c r="L38" i="5"/>
  <c r="L37" i="6"/>
  <c r="L29" i="4"/>
  <c r="J8" i="6"/>
  <c r="J22" i="6"/>
  <c r="J42" i="6"/>
  <c r="J65" i="4"/>
  <c r="J23" i="5"/>
  <c r="L16" i="6"/>
  <c r="L48" i="6"/>
  <c r="J56" i="4"/>
  <c r="L33" i="6"/>
  <c r="J59" i="6"/>
  <c r="Q15" i="6"/>
  <c r="Q32" i="6"/>
  <c r="Q37" i="6"/>
  <c r="D2" i="4"/>
  <c r="Q2" i="6"/>
  <c r="L3" i="6"/>
  <c r="Q64" i="6"/>
  <c r="J64" i="6"/>
  <c r="L28" i="6"/>
  <c r="L43" i="6"/>
  <c r="Q5" i="4"/>
  <c r="Q10" i="4" s="1"/>
  <c r="Q19" i="6"/>
  <c r="Q36" i="6"/>
  <c r="Q50" i="4"/>
  <c r="Q33" i="6"/>
  <c r="L58" i="6"/>
  <c r="Q4" i="6"/>
  <c r="L65" i="5"/>
  <c r="L59" i="6"/>
  <c r="Q16" i="6"/>
  <c r="L62" i="6"/>
  <c r="J16" i="6"/>
  <c r="J48" i="6"/>
  <c r="J63" i="6"/>
  <c r="L49" i="6"/>
  <c r="L64" i="6"/>
  <c r="Q7" i="6"/>
  <c r="C65" i="5"/>
  <c r="L4" i="6"/>
  <c r="J50" i="4"/>
  <c r="L8" i="6"/>
  <c r="L22" i="6"/>
  <c r="Q17" i="4"/>
  <c r="Q27" i="6"/>
  <c r="C38" i="5"/>
  <c r="Q5" i="5"/>
  <c r="Q10" i="5" s="1"/>
  <c r="Q38" i="5"/>
  <c r="Q49" i="6"/>
  <c r="L17" i="4"/>
  <c r="Q38" i="4"/>
  <c r="J17" i="4"/>
  <c r="J12" i="6"/>
  <c r="J27" i="6"/>
  <c r="L56" i="4"/>
  <c r="Q65" i="4"/>
  <c r="Q31" i="6"/>
  <c r="J29" i="5"/>
  <c r="J65" i="5"/>
  <c r="L17" i="5"/>
  <c r="L34" i="5"/>
  <c r="L50" i="5"/>
  <c r="Q60" i="5"/>
  <c r="J34" i="5"/>
  <c r="J13" i="6"/>
  <c r="J31" i="6"/>
  <c r="J46" i="6"/>
  <c r="J60" i="4"/>
  <c r="L15" i="6"/>
  <c r="L46" i="6"/>
  <c r="J3" i="6"/>
  <c r="J33" i="6"/>
  <c r="L19" i="6"/>
  <c r="L36" i="6"/>
  <c r="C17" i="5"/>
  <c r="L12" i="6"/>
  <c r="L29" i="5"/>
  <c r="J62" i="6"/>
  <c r="L27" i="6"/>
  <c r="L42" i="6"/>
  <c r="Q3" i="6"/>
  <c r="Q46" i="6"/>
  <c r="L60" i="4"/>
  <c r="J29" i="4"/>
  <c r="Q56" i="4"/>
  <c r="L65" i="4"/>
  <c r="J34" i="4"/>
  <c r="L50" i="4"/>
  <c r="L34" i="4"/>
  <c r="Q60" i="4"/>
  <c r="L23" i="5"/>
  <c r="Q17" i="5"/>
  <c r="J49" i="6"/>
  <c r="Q21" i="6"/>
  <c r="Q29" i="4"/>
  <c r="L23" i="4"/>
  <c r="C50" i="5"/>
  <c r="Q50" i="5"/>
  <c r="Q28" i="6"/>
  <c r="J17" i="5"/>
  <c r="J58" i="6"/>
  <c r="J38" i="4"/>
  <c r="J5" i="5"/>
  <c r="J10" i="5" s="1"/>
  <c r="Q29" i="5"/>
  <c r="L5" i="5"/>
  <c r="L10" i="5" s="1"/>
  <c r="Q34" i="4"/>
  <c r="L38" i="4"/>
  <c r="L5" i="4"/>
  <c r="L10" i="4" s="1"/>
  <c r="J23" i="4"/>
  <c r="J5" i="4"/>
  <c r="J10" i="4" s="1"/>
  <c r="E52" i="4" l="1"/>
  <c r="J52" i="4"/>
  <c r="L52" i="5"/>
  <c r="E52" i="5"/>
  <c r="J52" i="5"/>
  <c r="Q52" i="5"/>
  <c r="Q52" i="4"/>
  <c r="C52" i="5"/>
  <c r="L52" i="4"/>
  <c r="L44" i="6"/>
  <c r="J44" i="6"/>
  <c r="Q44" i="6"/>
  <c r="E44" i="6"/>
  <c r="E67" i="5"/>
  <c r="C34" i="6"/>
  <c r="C23" i="6"/>
  <c r="C60" i="6"/>
  <c r="E60" i="6"/>
  <c r="E25" i="5"/>
  <c r="E40" i="4"/>
  <c r="E67" i="4"/>
  <c r="C50" i="6"/>
  <c r="E40" i="5"/>
  <c r="C65" i="6"/>
  <c r="Q23" i="6"/>
  <c r="E65" i="6"/>
  <c r="E23" i="6"/>
  <c r="E25" i="4"/>
  <c r="L23" i="6"/>
  <c r="J38" i="6"/>
  <c r="E5" i="6"/>
  <c r="E10" i="6" s="1"/>
  <c r="E38" i="6"/>
  <c r="C38" i="6"/>
  <c r="Q50" i="6"/>
  <c r="E34" i="6"/>
  <c r="Q60" i="6"/>
  <c r="C29" i="6"/>
  <c r="L34" i="6"/>
  <c r="J5" i="6"/>
  <c r="J10" i="6" s="1"/>
  <c r="J67" i="4"/>
  <c r="C5" i="6"/>
  <c r="C10" i="6" s="1"/>
  <c r="Q67" i="5"/>
  <c r="J17" i="6"/>
  <c r="C40" i="5"/>
  <c r="E17" i="6"/>
  <c r="C15" i="6"/>
  <c r="C17" i="6" s="1"/>
  <c r="E56" i="6"/>
  <c r="C56" i="6"/>
  <c r="E29" i="6"/>
  <c r="C42" i="6"/>
  <c r="C44" i="6" s="1"/>
  <c r="E50" i="6"/>
  <c r="L50" i="6"/>
  <c r="Q25" i="4"/>
  <c r="L67" i="5"/>
  <c r="J23" i="6"/>
  <c r="L29" i="6"/>
  <c r="Q34" i="6"/>
  <c r="L38" i="6"/>
  <c r="J34" i="6"/>
  <c r="J67" i="5"/>
  <c r="J29" i="6"/>
  <c r="Q25" i="5"/>
  <c r="L25" i="5"/>
  <c r="Q5" i="6"/>
  <c r="Q10" i="6" s="1"/>
  <c r="L5" i="6"/>
  <c r="L10" i="6" s="1"/>
  <c r="J65" i="6"/>
  <c r="L60" i="6"/>
  <c r="J60" i="6"/>
  <c r="Q65" i="6"/>
  <c r="Q17" i="6"/>
  <c r="C25" i="5"/>
  <c r="L17" i="6"/>
  <c r="Q38" i="6"/>
  <c r="J50" i="6"/>
  <c r="Q40" i="5"/>
  <c r="J25" i="5"/>
  <c r="L67" i="4"/>
  <c r="L25" i="4"/>
  <c r="L65" i="6"/>
  <c r="J40" i="5"/>
  <c r="L40" i="5"/>
  <c r="Q67" i="4"/>
  <c r="J40" i="4"/>
  <c r="Q40" i="4"/>
  <c r="L40" i="4"/>
  <c r="J25" i="4"/>
  <c r="Q29" i="6"/>
  <c r="C67" i="5"/>
  <c r="D2" i="10"/>
  <c r="E52" i="6" l="1"/>
  <c r="J52" i="6"/>
  <c r="L52" i="6"/>
  <c r="C52" i="6"/>
  <c r="Q52" i="6"/>
  <c r="C25" i="6"/>
  <c r="E71" i="5"/>
  <c r="E67" i="6"/>
  <c r="E71" i="4"/>
  <c r="L71" i="4"/>
  <c r="L71" i="5"/>
  <c r="Q71" i="4"/>
  <c r="Q71" i="5"/>
  <c r="J71" i="4"/>
  <c r="C71" i="5"/>
  <c r="J71" i="5"/>
  <c r="Q25" i="6"/>
  <c r="E25" i="6"/>
  <c r="C67" i="6"/>
  <c r="L25" i="6"/>
  <c r="C40" i="6"/>
  <c r="Q67" i="6"/>
  <c r="E40" i="6"/>
  <c r="J25" i="6"/>
  <c r="L40" i="6"/>
  <c r="J40" i="6"/>
  <c r="L67" i="6"/>
  <c r="J67" i="6"/>
  <c r="Q40" i="6"/>
  <c r="B2" i="5"/>
  <c r="F2" i="5"/>
  <c r="H2" i="5"/>
  <c r="I2" i="5"/>
  <c r="K2" i="5"/>
  <c r="P2" i="5"/>
  <c r="B3" i="5"/>
  <c r="F3" i="5"/>
  <c r="H3" i="5"/>
  <c r="I3" i="5"/>
  <c r="K3" i="5"/>
  <c r="K3" i="6" s="1"/>
  <c r="P3" i="5"/>
  <c r="B4" i="5"/>
  <c r="F4" i="5"/>
  <c r="H4" i="5"/>
  <c r="I4" i="5"/>
  <c r="K4" i="5"/>
  <c r="P4" i="5"/>
  <c r="H5" i="5"/>
  <c r="B7" i="5"/>
  <c r="F7" i="5"/>
  <c r="H7" i="5"/>
  <c r="I7" i="5"/>
  <c r="K7" i="5"/>
  <c r="P7" i="5"/>
  <c r="B8" i="5"/>
  <c r="F8" i="5"/>
  <c r="H8" i="5"/>
  <c r="I8" i="5"/>
  <c r="K8" i="5"/>
  <c r="P8" i="5"/>
  <c r="H10" i="5"/>
  <c r="B12" i="5"/>
  <c r="F12" i="5"/>
  <c r="H12" i="5"/>
  <c r="I12" i="5"/>
  <c r="K12" i="5"/>
  <c r="P12" i="5"/>
  <c r="B13" i="5"/>
  <c r="F13" i="5"/>
  <c r="H13" i="5"/>
  <c r="I13" i="5"/>
  <c r="K13" i="5"/>
  <c r="P13" i="5"/>
  <c r="B15" i="5"/>
  <c r="F15" i="5"/>
  <c r="H15" i="5"/>
  <c r="I15" i="5"/>
  <c r="K15" i="5"/>
  <c r="P15" i="5"/>
  <c r="B16" i="5"/>
  <c r="F16" i="5"/>
  <c r="H16" i="5"/>
  <c r="I16" i="5"/>
  <c r="K16" i="5"/>
  <c r="P16" i="5"/>
  <c r="H17" i="5"/>
  <c r="B19" i="5"/>
  <c r="F19" i="5"/>
  <c r="H19" i="5"/>
  <c r="I19" i="5"/>
  <c r="K19" i="5"/>
  <c r="P19" i="5"/>
  <c r="B21" i="5"/>
  <c r="F21" i="5"/>
  <c r="H21" i="5"/>
  <c r="I21" i="5"/>
  <c r="K21" i="5"/>
  <c r="P21" i="5"/>
  <c r="B22" i="5"/>
  <c r="F22" i="5"/>
  <c r="H22" i="5"/>
  <c r="I22" i="5"/>
  <c r="K22" i="5"/>
  <c r="P22" i="5"/>
  <c r="H23" i="5"/>
  <c r="H25" i="5"/>
  <c r="B27" i="5"/>
  <c r="F27" i="5"/>
  <c r="H27" i="5"/>
  <c r="I27" i="5"/>
  <c r="K27" i="5"/>
  <c r="P27" i="5"/>
  <c r="B28" i="5"/>
  <c r="F28" i="5"/>
  <c r="H28" i="5"/>
  <c r="I28" i="5"/>
  <c r="K28" i="5"/>
  <c r="P28" i="5"/>
  <c r="H29" i="5"/>
  <c r="B31" i="5"/>
  <c r="F31" i="5"/>
  <c r="H31" i="5"/>
  <c r="I31" i="5"/>
  <c r="K31" i="5"/>
  <c r="P31" i="5"/>
  <c r="B32" i="5"/>
  <c r="F32" i="5"/>
  <c r="H32" i="5"/>
  <c r="I32" i="5"/>
  <c r="K32" i="5"/>
  <c r="P32" i="5"/>
  <c r="B33" i="5"/>
  <c r="F33" i="5"/>
  <c r="H33" i="5"/>
  <c r="I33" i="5"/>
  <c r="K33" i="5"/>
  <c r="P33" i="5"/>
  <c r="H34" i="5"/>
  <c r="B36" i="5"/>
  <c r="F36" i="5"/>
  <c r="H36" i="5"/>
  <c r="I36" i="5"/>
  <c r="K36" i="5"/>
  <c r="P36" i="5"/>
  <c r="B37" i="5"/>
  <c r="F37" i="5"/>
  <c r="H37" i="5"/>
  <c r="I37" i="5"/>
  <c r="K37" i="5"/>
  <c r="P37" i="5"/>
  <c r="H38" i="5"/>
  <c r="H40" i="5"/>
  <c r="B42" i="5"/>
  <c r="F42" i="5"/>
  <c r="H42" i="5"/>
  <c r="I42" i="5"/>
  <c r="K42" i="5"/>
  <c r="P42" i="5"/>
  <c r="B43" i="5"/>
  <c r="F43" i="5"/>
  <c r="H43" i="5"/>
  <c r="I43" i="5"/>
  <c r="K43" i="5"/>
  <c r="P43" i="5"/>
  <c r="H44" i="5"/>
  <c r="B46" i="5"/>
  <c r="F46" i="5"/>
  <c r="H46" i="5"/>
  <c r="I46" i="5"/>
  <c r="K46" i="5"/>
  <c r="P46" i="5"/>
  <c r="B48" i="5"/>
  <c r="F48" i="5"/>
  <c r="H48" i="5"/>
  <c r="I48" i="5"/>
  <c r="K48" i="5"/>
  <c r="P48" i="5"/>
  <c r="B49" i="5"/>
  <c r="F49" i="5"/>
  <c r="H49" i="5"/>
  <c r="I49" i="5"/>
  <c r="K49" i="5"/>
  <c r="P49" i="5"/>
  <c r="H50" i="5"/>
  <c r="H52" i="5"/>
  <c r="B54" i="5"/>
  <c r="B54" i="6" s="1"/>
  <c r="F54" i="5"/>
  <c r="F54" i="6" s="1"/>
  <c r="H54" i="5"/>
  <c r="I54" i="5"/>
  <c r="K54" i="5"/>
  <c r="P54" i="5"/>
  <c r="D55" i="5"/>
  <c r="F55" i="5"/>
  <c r="G55" i="5" s="1"/>
  <c r="M55" i="5"/>
  <c r="N55" i="5"/>
  <c r="O55" i="5"/>
  <c r="R55" i="5"/>
  <c r="H56" i="5"/>
  <c r="B58" i="5"/>
  <c r="F58" i="5"/>
  <c r="H58" i="5"/>
  <c r="I58" i="5"/>
  <c r="K58" i="5"/>
  <c r="P58" i="5"/>
  <c r="B59" i="5"/>
  <c r="F59" i="5"/>
  <c r="H59" i="5"/>
  <c r="I59" i="5"/>
  <c r="K59" i="5"/>
  <c r="P59" i="5"/>
  <c r="H60" i="5"/>
  <c r="B62" i="5"/>
  <c r="F62" i="5"/>
  <c r="H62" i="5"/>
  <c r="I62" i="5"/>
  <c r="K62" i="5"/>
  <c r="P62" i="5"/>
  <c r="B63" i="5"/>
  <c r="F63" i="5"/>
  <c r="H63" i="5"/>
  <c r="I63" i="5"/>
  <c r="K63" i="5"/>
  <c r="P63" i="5"/>
  <c r="P63" i="6" s="1"/>
  <c r="B64" i="5"/>
  <c r="F64" i="5"/>
  <c r="H64" i="5"/>
  <c r="I64" i="5"/>
  <c r="K64" i="5"/>
  <c r="P64" i="5"/>
  <c r="H65" i="5"/>
  <c r="H67" i="5"/>
  <c r="H71" i="5"/>
  <c r="P44" i="5" l="1"/>
  <c r="I56" i="5"/>
  <c r="I54" i="6"/>
  <c r="P56" i="5"/>
  <c r="R56" i="5" s="1"/>
  <c r="P54" i="6"/>
  <c r="R54" i="6" s="1"/>
  <c r="G54" i="6"/>
  <c r="D54" i="6"/>
  <c r="K56" i="5"/>
  <c r="K54" i="6"/>
  <c r="K44" i="5"/>
  <c r="I44" i="5"/>
  <c r="F44" i="5"/>
  <c r="B44" i="5"/>
  <c r="C71" i="6"/>
  <c r="E71" i="6"/>
  <c r="Q71" i="6"/>
  <c r="J71" i="6"/>
  <c r="L71" i="6"/>
  <c r="M4" i="5"/>
  <c r="M13" i="5"/>
  <c r="R3" i="5"/>
  <c r="N33" i="5"/>
  <c r="D33" i="5"/>
  <c r="I60" i="5"/>
  <c r="R36" i="5"/>
  <c r="M62" i="5"/>
  <c r="M37" i="5"/>
  <c r="M31" i="5"/>
  <c r="M19" i="5"/>
  <c r="K17" i="5"/>
  <c r="R37" i="5"/>
  <c r="I50" i="5"/>
  <c r="O48" i="5"/>
  <c r="G37" i="5"/>
  <c r="O36" i="5"/>
  <c r="G33" i="5"/>
  <c r="O32" i="5"/>
  <c r="R32" i="5"/>
  <c r="R12" i="5"/>
  <c r="D54" i="5"/>
  <c r="M49" i="5"/>
  <c r="N28" i="5"/>
  <c r="N16" i="5"/>
  <c r="G12" i="5"/>
  <c r="N8" i="5"/>
  <c r="I23" i="5"/>
  <c r="R21" i="5"/>
  <c r="G21" i="5"/>
  <c r="N3" i="5"/>
  <c r="R58" i="5"/>
  <c r="R49" i="5"/>
  <c r="D42" i="5"/>
  <c r="D59" i="5"/>
  <c r="R46" i="5"/>
  <c r="N63" i="5"/>
  <c r="R59" i="5"/>
  <c r="N62" i="5"/>
  <c r="G49" i="5"/>
  <c r="R48" i="5"/>
  <c r="N31" i="5"/>
  <c r="M28" i="5"/>
  <c r="D27" i="5"/>
  <c r="O19" i="5"/>
  <c r="G8" i="5"/>
  <c r="R4" i="5"/>
  <c r="P5" i="5"/>
  <c r="P10" i="5" s="1"/>
  <c r="D43" i="5"/>
  <c r="D2" i="5"/>
  <c r="N64" i="5"/>
  <c r="D64" i="5"/>
  <c r="G64" i="5"/>
  <c r="G63" i="5"/>
  <c r="D63" i="5"/>
  <c r="K65" i="5"/>
  <c r="M59" i="5"/>
  <c r="G59" i="5"/>
  <c r="O59" i="5"/>
  <c r="B60" i="5"/>
  <c r="N59" i="5"/>
  <c r="O58" i="5"/>
  <c r="D58" i="5"/>
  <c r="R62" i="5"/>
  <c r="G62" i="5"/>
  <c r="F65" i="5"/>
  <c r="O54" i="5"/>
  <c r="N54" i="5"/>
  <c r="G54" i="5"/>
  <c r="B56" i="5"/>
  <c r="D49" i="5"/>
  <c r="O49" i="5"/>
  <c r="N49" i="5"/>
  <c r="N48" i="5"/>
  <c r="B50" i="5"/>
  <c r="M48" i="5"/>
  <c r="G46" i="5"/>
  <c r="O46" i="5"/>
  <c r="M46" i="5"/>
  <c r="O43" i="5"/>
  <c r="G43" i="5"/>
  <c r="N43" i="5"/>
  <c r="M43" i="5"/>
  <c r="R43" i="5"/>
  <c r="G42" i="5"/>
  <c r="N42" i="5"/>
  <c r="O37" i="5"/>
  <c r="I38" i="5"/>
  <c r="D37" i="5"/>
  <c r="N37" i="5"/>
  <c r="N36" i="5"/>
  <c r="B38" i="5"/>
  <c r="M36" i="5"/>
  <c r="N32" i="5"/>
  <c r="G32" i="5"/>
  <c r="M32" i="5"/>
  <c r="K34" i="5"/>
  <c r="I34" i="5"/>
  <c r="O28" i="5"/>
  <c r="R28" i="5"/>
  <c r="I29" i="5"/>
  <c r="G27" i="5"/>
  <c r="R19" i="5"/>
  <c r="G19" i="5"/>
  <c r="N19" i="5"/>
  <c r="I17" i="5"/>
  <c r="D16" i="5"/>
  <c r="G16" i="5"/>
  <c r="B17" i="5"/>
  <c r="O15" i="5"/>
  <c r="N15" i="5"/>
  <c r="N13" i="5"/>
  <c r="M12" i="5"/>
  <c r="O12" i="5"/>
  <c r="N12" i="5"/>
  <c r="D8" i="5"/>
  <c r="N7" i="5"/>
  <c r="D7" i="5"/>
  <c r="G7" i="5"/>
  <c r="M22" i="5"/>
  <c r="F23" i="5"/>
  <c r="N21" i="5"/>
  <c r="O21" i="5"/>
  <c r="M21" i="5"/>
  <c r="K23" i="5"/>
  <c r="I5" i="5"/>
  <c r="I10" i="5" s="1"/>
  <c r="G3" i="5"/>
  <c r="O3" i="5"/>
  <c r="M3" i="5"/>
  <c r="N2" i="5"/>
  <c r="O2" i="5"/>
  <c r="D48" i="5"/>
  <c r="D36" i="5"/>
  <c r="R22" i="5"/>
  <c r="D21" i="5"/>
  <c r="R31" i="5"/>
  <c r="R15" i="5"/>
  <c r="D12" i="5"/>
  <c r="D28" i="5"/>
  <c r="R13" i="5"/>
  <c r="R2" i="5"/>
  <c r="N58" i="5"/>
  <c r="K60" i="5"/>
  <c r="N27" i="5"/>
  <c r="K29" i="5"/>
  <c r="D13" i="5"/>
  <c r="G13" i="5"/>
  <c r="O13" i="5"/>
  <c r="R7" i="5"/>
  <c r="M7" i="5"/>
  <c r="O7" i="5"/>
  <c r="R42" i="5"/>
  <c r="M42" i="5"/>
  <c r="O42" i="5"/>
  <c r="R33" i="5"/>
  <c r="M33" i="5"/>
  <c r="O33" i="5"/>
  <c r="P34" i="5"/>
  <c r="F5" i="5"/>
  <c r="G2" i="5"/>
  <c r="R63" i="5"/>
  <c r="M63" i="5"/>
  <c r="P65" i="5"/>
  <c r="D22" i="5"/>
  <c r="G22" i="5"/>
  <c r="B23" i="5"/>
  <c r="O22" i="5"/>
  <c r="D4" i="5"/>
  <c r="G4" i="5"/>
  <c r="B5" i="5"/>
  <c r="O4" i="5"/>
  <c r="M64" i="5"/>
  <c r="R64" i="5"/>
  <c r="F50" i="5"/>
  <c r="G48" i="5"/>
  <c r="D32" i="5"/>
  <c r="M58" i="5"/>
  <c r="O64" i="5"/>
  <c r="I65" i="5"/>
  <c r="F60" i="5"/>
  <c r="G58" i="5"/>
  <c r="F38" i="5"/>
  <c r="G36" i="5"/>
  <c r="D31" i="5"/>
  <c r="B34" i="5"/>
  <c r="G31" i="5"/>
  <c r="O31" i="5"/>
  <c r="M27" i="5"/>
  <c r="N22" i="5"/>
  <c r="N4" i="5"/>
  <c r="O63" i="5"/>
  <c r="F56" i="5"/>
  <c r="B65" i="5"/>
  <c r="D62" i="5"/>
  <c r="O62" i="5"/>
  <c r="R54" i="5"/>
  <c r="M54" i="5"/>
  <c r="F29" i="5"/>
  <c r="G28" i="5"/>
  <c r="R16" i="5"/>
  <c r="M16" i="5"/>
  <c r="O16" i="5"/>
  <c r="P17" i="5"/>
  <c r="M8" i="5"/>
  <c r="D46" i="5"/>
  <c r="F34" i="5"/>
  <c r="B29" i="5"/>
  <c r="R27" i="5"/>
  <c r="P23" i="5"/>
  <c r="F17" i="5"/>
  <c r="D15" i="5"/>
  <c r="R8" i="5"/>
  <c r="M2" i="5"/>
  <c r="N46" i="5"/>
  <c r="O27" i="5"/>
  <c r="D19" i="5"/>
  <c r="M15" i="5"/>
  <c r="G15" i="5"/>
  <c r="O8" i="5"/>
  <c r="K50" i="5"/>
  <c r="K38" i="5"/>
  <c r="P29" i="5"/>
  <c r="D3" i="5"/>
  <c r="P60" i="5"/>
  <c r="P50" i="5"/>
  <c r="P38" i="5"/>
  <c r="K5" i="5"/>
  <c r="O56" i="5" l="1"/>
  <c r="M56" i="5"/>
  <c r="P52" i="5"/>
  <c r="O54" i="6"/>
  <c r="N54" i="6"/>
  <c r="M54" i="6"/>
  <c r="F52" i="5"/>
  <c r="I52" i="5"/>
  <c r="B52" i="5"/>
  <c r="K52" i="5"/>
  <c r="I67" i="5"/>
  <c r="K25" i="5"/>
  <c r="G65" i="5"/>
  <c r="I25" i="5"/>
  <c r="D38" i="5"/>
  <c r="N60" i="5"/>
  <c r="G23" i="5"/>
  <c r="D17" i="5"/>
  <c r="K67" i="5"/>
  <c r="D60" i="5"/>
  <c r="O60" i="5"/>
  <c r="G60" i="5"/>
  <c r="P67" i="5"/>
  <c r="N56" i="5"/>
  <c r="B67" i="5"/>
  <c r="D56" i="5"/>
  <c r="G50" i="5"/>
  <c r="D50" i="5"/>
  <c r="G38" i="5"/>
  <c r="N38" i="5"/>
  <c r="I40" i="5"/>
  <c r="N17" i="5"/>
  <c r="O17" i="5"/>
  <c r="B25" i="5"/>
  <c r="R5" i="5"/>
  <c r="M5" i="5"/>
  <c r="K10" i="5"/>
  <c r="N50" i="5"/>
  <c r="M34" i="5"/>
  <c r="R34" i="5"/>
  <c r="G17" i="5"/>
  <c r="F25" i="5"/>
  <c r="M65" i="5"/>
  <c r="R65" i="5"/>
  <c r="N23" i="5"/>
  <c r="D23" i="5"/>
  <c r="O23" i="5"/>
  <c r="R10" i="5"/>
  <c r="R38" i="5"/>
  <c r="M38" i="5"/>
  <c r="G44" i="5"/>
  <c r="R50" i="5"/>
  <c r="M50" i="5"/>
  <c r="M17" i="5"/>
  <c r="R17" i="5"/>
  <c r="P25" i="5"/>
  <c r="N34" i="5"/>
  <c r="O34" i="5"/>
  <c r="D34" i="5"/>
  <c r="B10" i="5"/>
  <c r="N5" i="5"/>
  <c r="D5" i="5"/>
  <c r="O5" i="5"/>
  <c r="O50" i="5"/>
  <c r="K40" i="5"/>
  <c r="R23" i="5"/>
  <c r="M23" i="5"/>
  <c r="R29" i="5"/>
  <c r="P40" i="5"/>
  <c r="M29" i="5"/>
  <c r="F40" i="5"/>
  <c r="G29" i="5"/>
  <c r="N65" i="5"/>
  <c r="O65" i="5"/>
  <c r="D65" i="5"/>
  <c r="R60" i="5"/>
  <c r="M60" i="5"/>
  <c r="O29" i="5"/>
  <c r="D29" i="5"/>
  <c r="B40" i="5"/>
  <c r="N29" i="5"/>
  <c r="G34" i="5"/>
  <c r="G56" i="5"/>
  <c r="F67" i="5"/>
  <c r="O38" i="5"/>
  <c r="G5" i="5"/>
  <c r="F10" i="5"/>
  <c r="I71" i="5" l="1"/>
  <c r="F71" i="5"/>
  <c r="M10" i="5"/>
  <c r="K71" i="5"/>
  <c r="N25" i="5"/>
  <c r="M67" i="5"/>
  <c r="D67" i="5"/>
  <c r="R67" i="5"/>
  <c r="G67" i="5"/>
  <c r="O67" i="5"/>
  <c r="N67" i="5"/>
  <c r="G25" i="5"/>
  <c r="D25" i="5"/>
  <c r="N40" i="5"/>
  <c r="D40" i="5"/>
  <c r="O40" i="5"/>
  <c r="R25" i="5"/>
  <c r="M25" i="5"/>
  <c r="D44" i="5"/>
  <c r="O44" i="5"/>
  <c r="N44" i="5"/>
  <c r="G52" i="5"/>
  <c r="R44" i="5"/>
  <c r="M44" i="5"/>
  <c r="N10" i="5"/>
  <c r="O10" i="5"/>
  <c r="D10" i="5"/>
  <c r="P71" i="5"/>
  <c r="O25" i="5"/>
  <c r="G10" i="5"/>
  <c r="G40" i="5"/>
  <c r="R40" i="5"/>
  <c r="M40" i="5"/>
  <c r="B71" i="5" l="1"/>
  <c r="N71" i="5" s="1"/>
  <c r="R52" i="5"/>
  <c r="M52" i="5"/>
  <c r="N52" i="5"/>
  <c r="D52" i="5"/>
  <c r="O52" i="5"/>
  <c r="D71" i="5" l="1"/>
  <c r="G71" i="5"/>
  <c r="O71" i="5"/>
  <c r="R71" i="5"/>
  <c r="M71" i="5"/>
  <c r="B29" i="4" l="1"/>
  <c r="C29" i="4" l="1"/>
  <c r="T64" i="5"/>
  <c r="S64" i="5"/>
  <c r="T63" i="5"/>
  <c r="S63" i="5"/>
  <c r="T59" i="5"/>
  <c r="S59" i="5"/>
  <c r="T58" i="5"/>
  <c r="S58" i="5"/>
  <c r="T62" i="5"/>
  <c r="S62" i="5"/>
  <c r="T54" i="5"/>
  <c r="S54" i="5"/>
  <c r="T49" i="5"/>
  <c r="S49" i="5"/>
  <c r="T48" i="5"/>
  <c r="S48" i="5"/>
  <c r="T46" i="5"/>
  <c r="S46" i="5"/>
  <c r="T43" i="5"/>
  <c r="S43" i="5"/>
  <c r="T42" i="5"/>
  <c r="S42" i="5"/>
  <c r="T37" i="5"/>
  <c r="S37" i="5"/>
  <c r="T36" i="5"/>
  <c r="S36" i="5"/>
  <c r="T33" i="5"/>
  <c r="S33" i="5"/>
  <c r="T32" i="5"/>
  <c r="S32" i="5"/>
  <c r="T31" i="5"/>
  <c r="S31" i="5"/>
  <c r="T22" i="5"/>
  <c r="S22" i="5"/>
  <c r="T21" i="5"/>
  <c r="S21" i="5"/>
  <c r="T28" i="5"/>
  <c r="S28" i="5"/>
  <c r="T27" i="5"/>
  <c r="S27" i="5"/>
  <c r="T19" i="5"/>
  <c r="S19" i="5"/>
  <c r="T15" i="5"/>
  <c r="S15" i="5"/>
  <c r="T13" i="5"/>
  <c r="S13" i="5"/>
  <c r="T12" i="5"/>
  <c r="S12" i="5"/>
  <c r="T8" i="5"/>
  <c r="S8" i="5"/>
  <c r="T7" i="5"/>
  <c r="S7" i="5"/>
  <c r="T4" i="5"/>
  <c r="S4" i="5"/>
  <c r="T3" i="5"/>
  <c r="S3" i="5"/>
  <c r="T2" i="5"/>
  <c r="S2" i="5"/>
  <c r="T16" i="5"/>
  <c r="S16" i="5"/>
  <c r="P48" i="6"/>
  <c r="I7" i="6"/>
  <c r="T56" i="5" l="1"/>
  <c r="T54" i="6"/>
  <c r="S56" i="5"/>
  <c r="S54" i="6"/>
  <c r="C17" i="4"/>
  <c r="C38" i="4"/>
  <c r="C34" i="4"/>
  <c r="C56" i="4"/>
  <c r="C65" i="4"/>
  <c r="C23" i="4"/>
  <c r="C50" i="4"/>
  <c r="C52" i="4" s="1"/>
  <c r="S56" i="4"/>
  <c r="S65" i="4"/>
  <c r="I56" i="4"/>
  <c r="K56" i="4"/>
  <c r="S65" i="5"/>
  <c r="T65" i="4"/>
  <c r="T56" i="4"/>
  <c r="F65" i="4"/>
  <c r="P56" i="4"/>
  <c r="B17" i="4"/>
  <c r="T65" i="5"/>
  <c r="I65" i="4"/>
  <c r="K65" i="4"/>
  <c r="P65" i="4"/>
  <c r="B56" i="4"/>
  <c r="F56" i="4"/>
  <c r="C60" i="4"/>
  <c r="C5" i="4"/>
  <c r="C10" i="4" s="1"/>
  <c r="H54" i="6" l="1"/>
  <c r="C40" i="4"/>
  <c r="C25" i="4"/>
  <c r="C67" i="4"/>
  <c r="M19" i="4"/>
  <c r="C71" i="4" l="1"/>
  <c r="T55" i="6"/>
  <c r="S55" i="6"/>
  <c r="B55" i="6"/>
  <c r="F55" i="6"/>
  <c r="I55" i="6"/>
  <c r="K55" i="6"/>
  <c r="P55" i="6"/>
  <c r="I17" i="4"/>
  <c r="P17" i="4"/>
  <c r="N19" i="4"/>
  <c r="R8" i="4"/>
  <c r="D6" i="10"/>
  <c r="F4" i="10" s="1"/>
  <c r="M2" i="4"/>
  <c r="R17" i="4" l="1"/>
  <c r="B34" i="4"/>
  <c r="F29" i="4"/>
  <c r="G19" i="4"/>
  <c r="I23" i="4"/>
  <c r="I25" i="4" s="1"/>
  <c r="B23" i="4"/>
  <c r="F5" i="4"/>
  <c r="F10" i="4" s="1"/>
  <c r="G2" i="4"/>
  <c r="R2" i="4"/>
  <c r="R12" i="4"/>
  <c r="T59" i="6"/>
  <c r="I8" i="6"/>
  <c r="T63" i="6"/>
  <c r="N64" i="4"/>
  <c r="T31" i="6"/>
  <c r="P22" i="6"/>
  <c r="R22" i="6" s="1"/>
  <c r="I58" i="6"/>
  <c r="T64" i="6"/>
  <c r="K19" i="6"/>
  <c r="S60" i="5"/>
  <c r="T3" i="6"/>
  <c r="P32" i="6"/>
  <c r="R32" i="6" s="1"/>
  <c r="K27" i="6"/>
  <c r="K7" i="6"/>
  <c r="I12" i="6"/>
  <c r="K49" i="6"/>
  <c r="F3" i="6"/>
  <c r="S4" i="6"/>
  <c r="T32" i="6"/>
  <c r="T58" i="6"/>
  <c r="F42" i="6"/>
  <c r="P31" i="6"/>
  <c r="R31" i="6" s="1"/>
  <c r="T8" i="6"/>
  <c r="S48" i="6"/>
  <c r="S8" i="6"/>
  <c r="S21" i="6"/>
  <c r="I56" i="6"/>
  <c r="P37" i="6"/>
  <c r="R37" i="6" s="1"/>
  <c r="P43" i="6"/>
  <c r="R43" i="6" s="1"/>
  <c r="F32" i="6"/>
  <c r="P3" i="6"/>
  <c r="R3" i="6" s="1"/>
  <c r="K21" i="6"/>
  <c r="S16" i="6"/>
  <c r="K12" i="6"/>
  <c r="F12" i="6"/>
  <c r="F2" i="6"/>
  <c r="K59" i="6"/>
  <c r="T50" i="5"/>
  <c r="S38" i="5"/>
  <c r="F33" i="6"/>
  <c r="T62" i="6"/>
  <c r="P59" i="6"/>
  <c r="S59" i="6"/>
  <c r="S42" i="6"/>
  <c r="K62" i="6"/>
  <c r="T23" i="4"/>
  <c r="P12" i="6"/>
  <c r="T22" i="6"/>
  <c r="F48" i="6"/>
  <c r="I42" i="6"/>
  <c r="I16" i="6"/>
  <c r="T43" i="6"/>
  <c r="F37" i="6"/>
  <c r="T37" i="6"/>
  <c r="P15" i="6"/>
  <c r="R15" i="6" s="1"/>
  <c r="S12" i="6"/>
  <c r="I3" i="6"/>
  <c r="F59" i="6"/>
  <c r="F46" i="6"/>
  <c r="S44" i="5"/>
  <c r="S13" i="6"/>
  <c r="T7" i="6"/>
  <c r="I22" i="6"/>
  <c r="S50" i="5"/>
  <c r="K28" i="6"/>
  <c r="P8" i="6"/>
  <c r="R8" i="6" s="1"/>
  <c r="F8" i="6"/>
  <c r="S22" i="6"/>
  <c r="S34" i="4"/>
  <c r="M15" i="4"/>
  <c r="I49" i="6"/>
  <c r="F49" i="6"/>
  <c r="F43" i="6"/>
  <c r="S43" i="6"/>
  <c r="T36" i="6"/>
  <c r="K31" i="6"/>
  <c r="B7" i="6"/>
  <c r="D7" i="6" s="1"/>
  <c r="R16" i="4"/>
  <c r="S32" i="6"/>
  <c r="I31" i="6"/>
  <c r="S27" i="6"/>
  <c r="I15" i="6"/>
  <c r="S37" i="6"/>
  <c r="S33" i="6"/>
  <c r="N28" i="4"/>
  <c r="I19" i="6"/>
  <c r="K17" i="4"/>
  <c r="T15" i="6"/>
  <c r="R22" i="4"/>
  <c r="T5" i="4"/>
  <c r="S5" i="4"/>
  <c r="K64" i="6"/>
  <c r="S15" i="6"/>
  <c r="B12" i="6"/>
  <c r="R54" i="4"/>
  <c r="P50" i="4"/>
  <c r="P52" i="4" s="1"/>
  <c r="R33" i="4"/>
  <c r="I63" i="6"/>
  <c r="P62" i="6"/>
  <c r="S62" i="6"/>
  <c r="T49" i="6"/>
  <c r="B46" i="6"/>
  <c r="D46" i="6" s="1"/>
  <c r="P36" i="6"/>
  <c r="R36" i="6" s="1"/>
  <c r="I33" i="6"/>
  <c r="P33" i="6"/>
  <c r="K32" i="6"/>
  <c r="S17" i="5"/>
  <c r="B8" i="6"/>
  <c r="D8" i="6" s="1"/>
  <c r="T21" i="6"/>
  <c r="P4" i="6"/>
  <c r="R4" i="6" s="1"/>
  <c r="S60" i="4"/>
  <c r="O55" i="4"/>
  <c r="N55" i="4"/>
  <c r="M49" i="4"/>
  <c r="O43" i="4"/>
  <c r="F38" i="4"/>
  <c r="I28" i="6"/>
  <c r="M28" i="4"/>
  <c r="T27" i="6"/>
  <c r="O19" i="4"/>
  <c r="P16" i="6"/>
  <c r="R16" i="6" s="1"/>
  <c r="G16" i="4"/>
  <c r="M13" i="4"/>
  <c r="N3" i="4"/>
  <c r="D27" i="4"/>
  <c r="P64" i="6"/>
  <c r="R64" i="6" s="1"/>
  <c r="F63" i="6"/>
  <c r="P58" i="6"/>
  <c r="R58" i="6" s="1"/>
  <c r="T60" i="5"/>
  <c r="S58" i="6"/>
  <c r="S56" i="6"/>
  <c r="K42" i="6"/>
  <c r="I37" i="6"/>
  <c r="T33" i="6"/>
  <c r="S31" i="6"/>
  <c r="P27" i="6"/>
  <c r="R27" i="6" s="1"/>
  <c r="B19" i="6"/>
  <c r="I13" i="6"/>
  <c r="K4" i="6"/>
  <c r="T4" i="6"/>
  <c r="S2" i="6"/>
  <c r="B64" i="6"/>
  <c r="F60" i="4"/>
  <c r="R58" i="4"/>
  <c r="O58" i="4"/>
  <c r="M58" i="4"/>
  <c r="O55" i="6"/>
  <c r="N55" i="6"/>
  <c r="G54" i="4"/>
  <c r="R49" i="4"/>
  <c r="O48" i="4"/>
  <c r="R48" i="4"/>
  <c r="R46" i="4"/>
  <c r="K38" i="4"/>
  <c r="F36" i="6"/>
  <c r="G28" i="4"/>
  <c r="K16" i="6"/>
  <c r="R15" i="4"/>
  <c r="K15" i="6"/>
  <c r="S17" i="4"/>
  <c r="S25" i="4" s="1"/>
  <c r="P5" i="4"/>
  <c r="P10" i="4" s="1"/>
  <c r="O3" i="4"/>
  <c r="S64" i="6"/>
  <c r="B63" i="6"/>
  <c r="S63" i="6"/>
  <c r="I62" i="6"/>
  <c r="F62" i="6"/>
  <c r="P49" i="6"/>
  <c r="I48" i="6"/>
  <c r="I46" i="6"/>
  <c r="T44" i="5"/>
  <c r="F19" i="6"/>
  <c r="P13" i="6"/>
  <c r="R13" i="6" s="1"/>
  <c r="I4" i="6"/>
  <c r="D58" i="4"/>
  <c r="O62" i="4"/>
  <c r="M62" i="4"/>
  <c r="M55" i="4"/>
  <c r="M55" i="6"/>
  <c r="G55" i="6"/>
  <c r="O54" i="4"/>
  <c r="I50" i="4"/>
  <c r="I52" i="4" s="1"/>
  <c r="K50" i="4"/>
  <c r="K52" i="4" s="1"/>
  <c r="G46" i="4"/>
  <c r="N46" i="4"/>
  <c r="M46" i="4"/>
  <c r="K46" i="6"/>
  <c r="M43" i="4"/>
  <c r="P38" i="4"/>
  <c r="O37" i="4"/>
  <c r="R37" i="4"/>
  <c r="K36" i="6"/>
  <c r="T34" i="4"/>
  <c r="R32" i="4"/>
  <c r="G32" i="4"/>
  <c r="D32" i="4"/>
  <c r="M32" i="4"/>
  <c r="N32" i="4"/>
  <c r="F34" i="4"/>
  <c r="N31" i="4"/>
  <c r="D31" i="4"/>
  <c r="F31" i="6"/>
  <c r="K29" i="4"/>
  <c r="P28" i="6"/>
  <c r="R28" i="6" s="1"/>
  <c r="R28" i="4"/>
  <c r="S28" i="6"/>
  <c r="N27" i="4"/>
  <c r="S29" i="4"/>
  <c r="P29" i="4"/>
  <c r="D19" i="4"/>
  <c r="R19" i="4"/>
  <c r="N16" i="4"/>
  <c r="R13" i="4"/>
  <c r="G13" i="4"/>
  <c r="N12" i="4"/>
  <c r="G8" i="4"/>
  <c r="S23" i="4"/>
  <c r="G21" i="4"/>
  <c r="G4" i="4"/>
  <c r="R3" i="4"/>
  <c r="D42" i="4"/>
  <c r="F64" i="6"/>
  <c r="K58" i="6"/>
  <c r="F58" i="6"/>
  <c r="F56" i="6"/>
  <c r="B49" i="6"/>
  <c r="D49" i="6" s="1"/>
  <c r="S46" i="6"/>
  <c r="T38" i="5"/>
  <c r="B32" i="6"/>
  <c r="S34" i="5"/>
  <c r="T34" i="5"/>
  <c r="T29" i="5"/>
  <c r="B28" i="6"/>
  <c r="D28" i="6" s="1"/>
  <c r="F28" i="6"/>
  <c r="T28" i="6"/>
  <c r="S29" i="5"/>
  <c r="B27" i="6"/>
  <c r="F27" i="6"/>
  <c r="T19" i="6"/>
  <c r="S19" i="6"/>
  <c r="T16" i="6"/>
  <c r="T17" i="5"/>
  <c r="B15" i="6"/>
  <c r="D15" i="6" s="1"/>
  <c r="F15" i="6"/>
  <c r="K13" i="6"/>
  <c r="F13" i="6"/>
  <c r="S7" i="6"/>
  <c r="B22" i="6"/>
  <c r="I21" i="6"/>
  <c r="F21" i="6"/>
  <c r="S23" i="5"/>
  <c r="F4" i="6"/>
  <c r="P2" i="6"/>
  <c r="M64" i="4"/>
  <c r="O64" i="4"/>
  <c r="R64" i="4"/>
  <c r="D64" i="4"/>
  <c r="G64" i="4"/>
  <c r="G63" i="4"/>
  <c r="M63" i="4"/>
  <c r="R63" i="4"/>
  <c r="D63" i="4"/>
  <c r="O63" i="4"/>
  <c r="D59" i="4"/>
  <c r="M59" i="4"/>
  <c r="P60" i="4"/>
  <c r="R59" i="4"/>
  <c r="O59" i="4"/>
  <c r="N59" i="4"/>
  <c r="B59" i="6"/>
  <c r="D59" i="6" s="1"/>
  <c r="G59" i="4"/>
  <c r="K60" i="4"/>
  <c r="T60" i="4"/>
  <c r="G58" i="4"/>
  <c r="N58" i="4"/>
  <c r="B60" i="4"/>
  <c r="B67" i="4" s="1"/>
  <c r="B58" i="6"/>
  <c r="R62" i="4"/>
  <c r="N62" i="4"/>
  <c r="D62" i="4"/>
  <c r="G62" i="4"/>
  <c r="B62" i="6"/>
  <c r="R55" i="4"/>
  <c r="G55" i="4"/>
  <c r="H55" i="6"/>
  <c r="D54" i="4"/>
  <c r="O49" i="4"/>
  <c r="N49" i="4"/>
  <c r="G49" i="4"/>
  <c r="D49" i="4"/>
  <c r="T50" i="4"/>
  <c r="K48" i="6"/>
  <c r="B48" i="6"/>
  <c r="D48" i="6" s="1"/>
  <c r="B50" i="4"/>
  <c r="B52" i="4" s="1"/>
  <c r="N48" i="4"/>
  <c r="G48" i="4"/>
  <c r="F50" i="4"/>
  <c r="F52" i="4" s="1"/>
  <c r="T48" i="6"/>
  <c r="O46" i="4"/>
  <c r="P46" i="6"/>
  <c r="N43" i="4"/>
  <c r="G43" i="4"/>
  <c r="B43" i="6"/>
  <c r="D43" i="6" s="1"/>
  <c r="K43" i="6"/>
  <c r="T44" i="4"/>
  <c r="T42" i="6"/>
  <c r="N37" i="4"/>
  <c r="B37" i="6"/>
  <c r="B38" i="4"/>
  <c r="G37" i="4"/>
  <c r="M36" i="4"/>
  <c r="T38" i="4"/>
  <c r="G33" i="4"/>
  <c r="B33" i="6"/>
  <c r="O33" i="4"/>
  <c r="D33" i="4"/>
  <c r="O32" i="4"/>
  <c r="M31" i="4"/>
  <c r="P34" i="4"/>
  <c r="O28" i="4"/>
  <c r="T29" i="4"/>
  <c r="G27" i="4"/>
  <c r="M27" i="4"/>
  <c r="R27" i="4"/>
  <c r="O27" i="4"/>
  <c r="B16" i="6"/>
  <c r="O16" i="4"/>
  <c r="M16" i="4"/>
  <c r="T17" i="4"/>
  <c r="T25" i="4" s="1"/>
  <c r="O15" i="4"/>
  <c r="N15" i="4"/>
  <c r="D15" i="4"/>
  <c r="G15" i="4"/>
  <c r="F17" i="4"/>
  <c r="B13" i="6"/>
  <c r="O13" i="4"/>
  <c r="N13" i="4"/>
  <c r="T13" i="6"/>
  <c r="G12" i="4"/>
  <c r="O12" i="4"/>
  <c r="M12" i="4"/>
  <c r="O8" i="4"/>
  <c r="N7" i="4"/>
  <c r="O7" i="4"/>
  <c r="D7" i="4"/>
  <c r="G7" i="4"/>
  <c r="P7" i="6"/>
  <c r="R7" i="4"/>
  <c r="M7" i="4"/>
  <c r="F7" i="6"/>
  <c r="O22" i="4"/>
  <c r="M22" i="4"/>
  <c r="O21" i="4"/>
  <c r="D21" i="4"/>
  <c r="N21" i="4"/>
  <c r="B21" i="6"/>
  <c r="D21" i="6" s="1"/>
  <c r="D4" i="4"/>
  <c r="N4" i="4"/>
  <c r="B4" i="6"/>
  <c r="O4" i="4"/>
  <c r="B5" i="4"/>
  <c r="B10" i="4" s="1"/>
  <c r="M4" i="4"/>
  <c r="G3" i="4"/>
  <c r="B3" i="6"/>
  <c r="D3" i="6" s="1"/>
  <c r="D3" i="4"/>
  <c r="O2" i="4"/>
  <c r="B2" i="6"/>
  <c r="K2" i="6"/>
  <c r="N2" i="4"/>
  <c r="D37" i="4"/>
  <c r="R43" i="4"/>
  <c r="I2" i="6"/>
  <c r="I5" i="4"/>
  <c r="I10" i="4" s="1"/>
  <c r="K5" i="4"/>
  <c r="K10" i="4" s="1"/>
  <c r="M21" i="4"/>
  <c r="P21" i="6"/>
  <c r="P23" i="4"/>
  <c r="P25" i="4" s="1"/>
  <c r="K23" i="4"/>
  <c r="N22" i="4"/>
  <c r="K22" i="6"/>
  <c r="G22" i="4"/>
  <c r="F23" i="4"/>
  <c r="F22" i="6"/>
  <c r="K8" i="6"/>
  <c r="M8" i="4"/>
  <c r="I27" i="6"/>
  <c r="I29" i="4"/>
  <c r="K33" i="6"/>
  <c r="N33" i="4"/>
  <c r="M33" i="4"/>
  <c r="K34" i="4"/>
  <c r="N36" i="4"/>
  <c r="D36" i="4"/>
  <c r="G36" i="4"/>
  <c r="B36" i="6"/>
  <c r="D36" i="6" s="1"/>
  <c r="O36" i="4"/>
  <c r="O42" i="4"/>
  <c r="G42" i="4"/>
  <c r="B42" i="6"/>
  <c r="N42" i="4"/>
  <c r="N54" i="4"/>
  <c r="M54" i="4"/>
  <c r="K56" i="6"/>
  <c r="I59" i="6"/>
  <c r="I60" i="4"/>
  <c r="M3" i="4"/>
  <c r="N8" i="4"/>
  <c r="T5" i="5"/>
  <c r="T2" i="6"/>
  <c r="I32" i="6"/>
  <c r="I34" i="4"/>
  <c r="M37" i="4"/>
  <c r="K37" i="6"/>
  <c r="D46" i="4"/>
  <c r="R48" i="6"/>
  <c r="M48" i="4"/>
  <c r="K63" i="6"/>
  <c r="P19" i="6"/>
  <c r="R31" i="4"/>
  <c r="B31" i="6"/>
  <c r="G31" i="4"/>
  <c r="O31" i="4"/>
  <c r="I36" i="6"/>
  <c r="I38" i="4"/>
  <c r="P42" i="6"/>
  <c r="M42" i="4"/>
  <c r="I43" i="6"/>
  <c r="N63" i="4"/>
  <c r="D13" i="4"/>
  <c r="D16" i="4"/>
  <c r="S50" i="4"/>
  <c r="S49" i="6"/>
  <c r="T12" i="6"/>
  <c r="T23" i="5"/>
  <c r="R4" i="4"/>
  <c r="D55" i="4"/>
  <c r="S44" i="4"/>
  <c r="D22" i="4"/>
  <c r="D8" i="4"/>
  <c r="D12" i="4"/>
  <c r="F16" i="6"/>
  <c r="R42" i="4"/>
  <c r="D43" i="4"/>
  <c r="D48" i="4"/>
  <c r="I64" i="6"/>
  <c r="S3" i="6"/>
  <c r="S38" i="4"/>
  <c r="S36" i="6"/>
  <c r="T46" i="6"/>
  <c r="T56" i="6"/>
  <c r="S5" i="5"/>
  <c r="D55" i="6"/>
  <c r="R55" i="6"/>
  <c r="D28" i="4"/>
  <c r="R21" i="4"/>
  <c r="R36" i="4"/>
  <c r="T25" i="5" l="1"/>
  <c r="S52" i="5"/>
  <c r="T52" i="5"/>
  <c r="S52" i="4"/>
  <c r="T52" i="4"/>
  <c r="F44" i="6"/>
  <c r="B44" i="6"/>
  <c r="I44" i="6"/>
  <c r="K44" i="6"/>
  <c r="R42" i="6"/>
  <c r="P44" i="6"/>
  <c r="I65" i="6"/>
  <c r="T65" i="6"/>
  <c r="S25" i="5"/>
  <c r="F65" i="6"/>
  <c r="K65" i="6"/>
  <c r="S65" i="6"/>
  <c r="R62" i="6"/>
  <c r="P65" i="6"/>
  <c r="D62" i="6"/>
  <c r="B65" i="6"/>
  <c r="P56" i="6"/>
  <c r="B56" i="6"/>
  <c r="K40" i="4"/>
  <c r="D29" i="4"/>
  <c r="B40" i="4"/>
  <c r="I40" i="4"/>
  <c r="K25" i="4"/>
  <c r="M25" i="4" s="1"/>
  <c r="B25" i="4"/>
  <c r="D25" i="4" s="1"/>
  <c r="F25" i="4"/>
  <c r="P40" i="4"/>
  <c r="F40" i="4"/>
  <c r="R12" i="6"/>
  <c r="D17" i="4"/>
  <c r="O17" i="4"/>
  <c r="M17" i="4"/>
  <c r="N17" i="4"/>
  <c r="D23" i="4"/>
  <c r="R10" i="4"/>
  <c r="O10" i="4"/>
  <c r="D10" i="4"/>
  <c r="M10" i="4"/>
  <c r="N10" i="4"/>
  <c r="N13" i="6"/>
  <c r="B29" i="6"/>
  <c r="T40" i="5"/>
  <c r="H59" i="6"/>
  <c r="T60" i="6"/>
  <c r="S40" i="5"/>
  <c r="T40" i="4"/>
  <c r="S40" i="4"/>
  <c r="H63" i="6"/>
  <c r="H31" i="6"/>
  <c r="O22" i="6"/>
  <c r="M22" i="6"/>
  <c r="P23" i="6"/>
  <c r="I60" i="6"/>
  <c r="H64" i="6"/>
  <c r="N19" i="6"/>
  <c r="N27" i="6"/>
  <c r="M32" i="6"/>
  <c r="O32" i="6"/>
  <c r="M7" i="6"/>
  <c r="M49" i="6"/>
  <c r="K50" i="6"/>
  <c r="O12" i="6"/>
  <c r="H8" i="6"/>
  <c r="I23" i="6"/>
  <c r="T38" i="6"/>
  <c r="H4" i="6"/>
  <c r="P34" i="6"/>
  <c r="R34" i="6" s="1"/>
  <c r="T34" i="6"/>
  <c r="H32" i="6"/>
  <c r="M12" i="6"/>
  <c r="M31" i="6"/>
  <c r="M37" i="6"/>
  <c r="H21" i="6"/>
  <c r="M43" i="6"/>
  <c r="F5" i="6"/>
  <c r="F10" i="6" s="1"/>
  <c r="H13" i="6"/>
  <c r="F34" i="6"/>
  <c r="H42" i="6"/>
  <c r="S17" i="6"/>
  <c r="H16" i="6"/>
  <c r="M59" i="6"/>
  <c r="P38" i="6"/>
  <c r="R38" i="6" s="1"/>
  <c r="D19" i="6"/>
  <c r="H62" i="6"/>
  <c r="R59" i="6"/>
  <c r="I17" i="6"/>
  <c r="O16" i="6"/>
  <c r="T10" i="4"/>
  <c r="S60" i="6"/>
  <c r="T23" i="6"/>
  <c r="F60" i="6"/>
  <c r="F50" i="6"/>
  <c r="H22" i="6"/>
  <c r="S23" i="6"/>
  <c r="G37" i="6"/>
  <c r="M15" i="6"/>
  <c r="R50" i="4"/>
  <c r="H37" i="6"/>
  <c r="H7" i="6"/>
  <c r="H43" i="6"/>
  <c r="F38" i="6"/>
  <c r="P17" i="6"/>
  <c r="I50" i="6"/>
  <c r="K34" i="6"/>
  <c r="S10" i="4"/>
  <c r="H28" i="6"/>
  <c r="M13" i="6"/>
  <c r="G7" i="6"/>
  <c r="R63" i="6"/>
  <c r="G38" i="4"/>
  <c r="M28" i="6"/>
  <c r="K29" i="6"/>
  <c r="T17" i="6"/>
  <c r="I5" i="6"/>
  <c r="I10" i="6" s="1"/>
  <c r="P60" i="6"/>
  <c r="R60" i="6" s="1"/>
  <c r="H27" i="6"/>
  <c r="N7" i="6"/>
  <c r="N4" i="6"/>
  <c r="R5" i="4"/>
  <c r="G46" i="6"/>
  <c r="O46" i="6"/>
  <c r="H15" i="6"/>
  <c r="M62" i="6"/>
  <c r="M50" i="4"/>
  <c r="M36" i="6"/>
  <c r="M27" i="6"/>
  <c r="O64" i="6"/>
  <c r="I34" i="6"/>
  <c r="R33" i="6"/>
  <c r="O33" i="6"/>
  <c r="M16" i="6"/>
  <c r="G8" i="6"/>
  <c r="M64" i="6"/>
  <c r="D12" i="6"/>
  <c r="G12" i="6"/>
  <c r="N12" i="6"/>
  <c r="O8" i="6"/>
  <c r="S29" i="6"/>
  <c r="M4" i="6"/>
  <c r="H33" i="6"/>
  <c r="P29" i="6"/>
  <c r="N29" i="4"/>
  <c r="R46" i="6"/>
  <c r="S34" i="6"/>
  <c r="D22" i="6"/>
  <c r="M58" i="6"/>
  <c r="I38" i="6"/>
  <c r="M38" i="4"/>
  <c r="R38" i="4"/>
  <c r="I29" i="6"/>
  <c r="O29" i="4"/>
  <c r="G19" i="6"/>
  <c r="O2" i="6"/>
  <c r="N64" i="6"/>
  <c r="G64" i="6"/>
  <c r="O63" i="6"/>
  <c r="H58" i="6"/>
  <c r="D37" i="6"/>
  <c r="G32" i="6"/>
  <c r="D32" i="6"/>
  <c r="T29" i="6"/>
  <c r="K17" i="6"/>
  <c r="D64" i="6"/>
  <c r="D63" i="6"/>
  <c r="G63" i="6"/>
  <c r="R65" i="4"/>
  <c r="N58" i="6"/>
  <c r="R49" i="6"/>
  <c r="O49" i="6"/>
  <c r="N50" i="4"/>
  <c r="N46" i="6"/>
  <c r="N32" i="6"/>
  <c r="G34" i="4"/>
  <c r="M29" i="4"/>
  <c r="R19" i="6"/>
  <c r="O7" i="6"/>
  <c r="S10" i="5"/>
  <c r="D4" i="6"/>
  <c r="M2" i="6"/>
  <c r="M65" i="4"/>
  <c r="G59" i="6"/>
  <c r="R60" i="4"/>
  <c r="M60" i="4"/>
  <c r="G58" i="6"/>
  <c r="G49" i="6"/>
  <c r="N49" i="6"/>
  <c r="T44" i="6"/>
  <c r="N37" i="6"/>
  <c r="D34" i="4"/>
  <c r="O34" i="4"/>
  <c r="H19" i="6"/>
  <c r="G15" i="6"/>
  <c r="D13" i="6"/>
  <c r="D5" i="4"/>
  <c r="D58" i="6"/>
  <c r="B60" i="6"/>
  <c r="D60" i="6" s="1"/>
  <c r="K60" i="6"/>
  <c r="O62" i="6"/>
  <c r="G48" i="6"/>
  <c r="O43" i="6"/>
  <c r="G28" i="6"/>
  <c r="O28" i="6"/>
  <c r="N28" i="6"/>
  <c r="D27" i="6"/>
  <c r="O27" i="6"/>
  <c r="G27" i="6"/>
  <c r="G16" i="6"/>
  <c r="D16" i="6"/>
  <c r="N16" i="6"/>
  <c r="N15" i="6"/>
  <c r="O15" i="6"/>
  <c r="B17" i="6"/>
  <c r="O13" i="6"/>
  <c r="G13" i="6"/>
  <c r="R21" i="6"/>
  <c r="R2" i="6"/>
  <c r="P5" i="6"/>
  <c r="B5" i="6"/>
  <c r="B10" i="6" s="1"/>
  <c r="N2" i="6"/>
  <c r="D2" i="6"/>
  <c r="N60" i="4"/>
  <c r="O59" i="6"/>
  <c r="N59" i="6"/>
  <c r="O58" i="6"/>
  <c r="O60" i="4"/>
  <c r="D60" i="4"/>
  <c r="G60" i="4"/>
  <c r="N62" i="6"/>
  <c r="G62" i="6"/>
  <c r="N48" i="6"/>
  <c r="B50" i="6"/>
  <c r="G50" i="4"/>
  <c r="O50" i="4"/>
  <c r="H48" i="6"/>
  <c r="T50" i="6"/>
  <c r="M46" i="6"/>
  <c r="G43" i="6"/>
  <c r="N43" i="6"/>
  <c r="O37" i="6"/>
  <c r="D38" i="4"/>
  <c r="N38" i="4"/>
  <c r="O38" i="4"/>
  <c r="G33" i="6"/>
  <c r="D33" i="6"/>
  <c r="G17" i="4"/>
  <c r="R7" i="6"/>
  <c r="G23" i="4"/>
  <c r="N23" i="4"/>
  <c r="G21" i="6"/>
  <c r="N21" i="6"/>
  <c r="B23" i="6"/>
  <c r="D23" i="6" s="1"/>
  <c r="G5" i="4"/>
  <c r="O5" i="4"/>
  <c r="N5" i="4"/>
  <c r="O4" i="6"/>
  <c r="G4" i="6"/>
  <c r="O3" i="6"/>
  <c r="G3" i="6"/>
  <c r="G2" i="6"/>
  <c r="R29" i="4"/>
  <c r="K38" i="6"/>
  <c r="H36" i="6"/>
  <c r="S38" i="6"/>
  <c r="D31" i="6"/>
  <c r="O31" i="6"/>
  <c r="G31" i="6"/>
  <c r="N31" i="6"/>
  <c r="B34" i="6"/>
  <c r="D34" i="6" s="1"/>
  <c r="M23" i="4"/>
  <c r="O23" i="4"/>
  <c r="H46" i="6"/>
  <c r="R23" i="4"/>
  <c r="N34" i="4"/>
  <c r="M34" i="4"/>
  <c r="G29" i="4"/>
  <c r="F17" i="6"/>
  <c r="M8" i="6"/>
  <c r="N8" i="6"/>
  <c r="K23" i="6"/>
  <c r="N22" i="6"/>
  <c r="O21" i="6"/>
  <c r="M21" i="6"/>
  <c r="N3" i="6"/>
  <c r="K5" i="6"/>
  <c r="K10" i="6" s="1"/>
  <c r="M3" i="6"/>
  <c r="M42" i="6"/>
  <c r="T10" i="5"/>
  <c r="G42" i="6"/>
  <c r="N42" i="6"/>
  <c r="O42" i="6"/>
  <c r="O36" i="6"/>
  <c r="N36" i="6"/>
  <c r="G36" i="6"/>
  <c r="B38" i="6"/>
  <c r="D42" i="6"/>
  <c r="H12" i="6"/>
  <c r="O19" i="6"/>
  <c r="M19" i="6"/>
  <c r="O48" i="6"/>
  <c r="P50" i="6"/>
  <c r="M48" i="6"/>
  <c r="N33" i="6"/>
  <c r="M33" i="6"/>
  <c r="S5" i="6"/>
  <c r="S10" i="6" s="1"/>
  <c r="H3" i="6"/>
  <c r="H49" i="6"/>
  <c r="S50" i="6"/>
  <c r="N63" i="6"/>
  <c r="M63" i="6"/>
  <c r="H2" i="6"/>
  <c r="T5" i="6"/>
  <c r="T10" i="6" s="1"/>
  <c r="F29" i="6"/>
  <c r="G22" i="6"/>
  <c r="F23" i="6"/>
  <c r="M5" i="4"/>
  <c r="D50" i="4"/>
  <c r="R44" i="4"/>
  <c r="R34" i="4"/>
  <c r="I52" i="6" l="1"/>
  <c r="P52" i="6"/>
  <c r="B52" i="6"/>
  <c r="K52" i="6"/>
  <c r="F52" i="6"/>
  <c r="T52" i="6"/>
  <c r="D10" i="6"/>
  <c r="B67" i="6"/>
  <c r="P67" i="6"/>
  <c r="P25" i="6"/>
  <c r="R25" i="6" s="1"/>
  <c r="S25" i="6"/>
  <c r="T40" i="6"/>
  <c r="I40" i="6"/>
  <c r="S40" i="6"/>
  <c r="T25" i="6"/>
  <c r="I25" i="6"/>
  <c r="F40" i="6"/>
  <c r="F25" i="6"/>
  <c r="K25" i="6"/>
  <c r="K40" i="6"/>
  <c r="D29" i="6"/>
  <c r="B40" i="6"/>
  <c r="B25" i="6"/>
  <c r="R29" i="6"/>
  <c r="P40" i="6"/>
  <c r="R40" i="6" s="1"/>
  <c r="H60" i="6"/>
  <c r="R23" i="6"/>
  <c r="R5" i="6"/>
  <c r="P10" i="6"/>
  <c r="H65" i="6"/>
  <c r="O23" i="6"/>
  <c r="H34" i="6"/>
  <c r="H38" i="6"/>
  <c r="M34" i="6"/>
  <c r="G5" i="6"/>
  <c r="H17" i="6"/>
  <c r="G50" i="6"/>
  <c r="O17" i="6"/>
  <c r="R17" i="6"/>
  <c r="H23" i="6"/>
  <c r="M17" i="6"/>
  <c r="R65" i="6"/>
  <c r="M60" i="6"/>
  <c r="G40" i="4"/>
  <c r="R25" i="4"/>
  <c r="O25" i="4"/>
  <c r="G65" i="6"/>
  <c r="M29" i="6"/>
  <c r="H29" i="6"/>
  <c r="D65" i="6"/>
  <c r="O65" i="6"/>
  <c r="M44" i="4"/>
  <c r="N44" i="4"/>
  <c r="M52" i="4"/>
  <c r="R40" i="4"/>
  <c r="O60" i="6"/>
  <c r="G60" i="6"/>
  <c r="N60" i="6"/>
  <c r="H50" i="6"/>
  <c r="N29" i="6"/>
  <c r="O29" i="6"/>
  <c r="N17" i="6"/>
  <c r="D17" i="6"/>
  <c r="D5" i="6"/>
  <c r="O5" i="6"/>
  <c r="N5" i="6"/>
  <c r="N50" i="6"/>
  <c r="D50" i="6"/>
  <c r="G44" i="4"/>
  <c r="O52" i="4"/>
  <c r="D44" i="4"/>
  <c r="O44" i="4"/>
  <c r="D40" i="4"/>
  <c r="O40" i="4"/>
  <c r="G25" i="4"/>
  <c r="G10" i="4"/>
  <c r="N23" i="6"/>
  <c r="R52" i="4"/>
  <c r="O38" i="6"/>
  <c r="G38" i="6"/>
  <c r="S44" i="6"/>
  <c r="S52" i="6" s="1"/>
  <c r="G23" i="6"/>
  <c r="N25" i="4"/>
  <c r="M40" i="4"/>
  <c r="N40" i="4"/>
  <c r="M23" i="6"/>
  <c r="D38" i="6"/>
  <c r="O34" i="6"/>
  <c r="G34" i="6"/>
  <c r="N34" i="6"/>
  <c r="N38" i="6"/>
  <c r="M38" i="6"/>
  <c r="N65" i="6"/>
  <c r="M65" i="6"/>
  <c r="G29" i="6"/>
  <c r="H5" i="6"/>
  <c r="M50" i="6"/>
  <c r="O50" i="6"/>
  <c r="R50" i="6"/>
  <c r="M5" i="6"/>
  <c r="G17" i="6"/>
  <c r="H52" i="6" l="1"/>
  <c r="B71" i="4"/>
  <c r="B71" i="6"/>
  <c r="D71" i="6" s="1"/>
  <c r="R10" i="6"/>
  <c r="P71" i="6"/>
  <c r="M25" i="6"/>
  <c r="H25" i="6"/>
  <c r="O25" i="6"/>
  <c r="H40" i="6"/>
  <c r="M40" i="6"/>
  <c r="N25" i="6"/>
  <c r="G10" i="6"/>
  <c r="G25" i="6"/>
  <c r="D25" i="6"/>
  <c r="M10" i="6"/>
  <c r="O10" i="6"/>
  <c r="G52" i="4"/>
  <c r="N52" i="4"/>
  <c r="D52" i="4"/>
  <c r="H44" i="6"/>
  <c r="M52" i="6"/>
  <c r="R52" i="6"/>
  <c r="N40" i="6"/>
  <c r="O40" i="6"/>
  <c r="D40" i="6"/>
  <c r="N10" i="6"/>
  <c r="O44" i="6"/>
  <c r="G44" i="6"/>
  <c r="D44" i="6"/>
  <c r="N44" i="6"/>
  <c r="M44" i="6"/>
  <c r="R44" i="6"/>
  <c r="H10" i="6"/>
  <c r="G40" i="6"/>
  <c r="G52" i="6" l="1"/>
  <c r="O52" i="6"/>
  <c r="D52" i="6"/>
  <c r="N52" i="6"/>
  <c r="D56" i="4"/>
  <c r="G56" i="4" l="1"/>
  <c r="F67" i="4"/>
  <c r="F71" i="4" s="1"/>
  <c r="I67" i="4" l="1"/>
  <c r="I71" i="4" s="1"/>
  <c r="N56" i="4"/>
  <c r="K67" i="4"/>
  <c r="K71" i="4" s="1"/>
  <c r="M56" i="4" l="1"/>
  <c r="O56" i="4"/>
  <c r="P67" i="4"/>
  <c r="M67" i="4" l="1"/>
  <c r="P71" i="4"/>
  <c r="M71" i="4" s="1"/>
  <c r="R56" i="4"/>
  <c r="R67" i="4"/>
  <c r="R71" i="4" l="1"/>
  <c r="S67" i="4"/>
  <c r="S71" i="4" s="1"/>
  <c r="T67" i="4"/>
  <c r="T71" i="4" s="1"/>
  <c r="O65" i="4"/>
  <c r="G65" i="4"/>
  <c r="D65" i="4"/>
  <c r="N65" i="4"/>
  <c r="N67" i="4" l="1"/>
  <c r="G67" i="4"/>
  <c r="D67" i="4"/>
  <c r="O67" i="4"/>
  <c r="D71" i="4"/>
  <c r="O71" i="4"/>
  <c r="N71" i="4"/>
  <c r="G71" i="4"/>
  <c r="F67" i="6"/>
  <c r="F71" i="6" s="1"/>
  <c r="D56" i="6" l="1"/>
  <c r="G56" i="6"/>
  <c r="G67" i="6"/>
  <c r="D67" i="6" l="1"/>
  <c r="G71" i="6" l="1"/>
  <c r="I67" i="6"/>
  <c r="I71" i="6" s="1"/>
  <c r="N56" i="6"/>
  <c r="K67" i="6"/>
  <c r="N67" i="6" l="1"/>
  <c r="K71" i="6"/>
  <c r="N71" i="6" s="1"/>
  <c r="M56" i="6"/>
  <c r="O56" i="6"/>
  <c r="O67" i="6"/>
  <c r="M71" i="6" l="1"/>
  <c r="M67" i="6"/>
  <c r="R56" i="6"/>
  <c r="R67" i="6"/>
  <c r="S67" i="6"/>
  <c r="S71" i="6" s="1"/>
  <c r="H56" i="6"/>
  <c r="T67" i="6"/>
  <c r="T71" i="6" s="1"/>
  <c r="H71" i="6" l="1"/>
  <c r="R71" i="6"/>
  <c r="H67" i="6"/>
  <c r="O71" i="6"/>
  <c r="S67" i="5"/>
  <c r="S71" i="5" s="1"/>
  <c r="T67" i="5"/>
  <c r="T71" i="5" s="1"/>
</calcChain>
</file>

<file path=xl/sharedStrings.xml><?xml version="1.0" encoding="utf-8"?>
<sst xmlns="http://schemas.openxmlformats.org/spreadsheetml/2006/main" count="888" uniqueCount="399">
  <si>
    <t>code_agence</t>
  </si>
  <si>
    <t>libelle_agence</t>
  </si>
  <si>
    <t>Transaction_Owned</t>
  </si>
  <si>
    <t>%_local_Owned</t>
  </si>
  <si>
    <t>%_Intercity_Owned</t>
  </si>
  <si>
    <t>T+K_Owned</t>
  </si>
  <si>
    <t>Rev/Trans_Owned</t>
  </si>
  <si>
    <t>Rve/Day_Owned</t>
  </si>
  <si>
    <t>Nb_Jours_Loc_Owned</t>
  </si>
  <si>
    <t>Duree_Owned</t>
  </si>
  <si>
    <t>RPU_Owned</t>
  </si>
  <si>
    <t>Util_Owned</t>
  </si>
  <si>
    <t>Car_Days_Owned</t>
  </si>
  <si>
    <t>Flotte_Moyenne_Owned</t>
  </si>
  <si>
    <t>Departs_Owned</t>
  </si>
  <si>
    <t>mois</t>
  </si>
  <si>
    <t>Transaction_Foreign</t>
  </si>
  <si>
    <t>%_local_Foreign</t>
  </si>
  <si>
    <t>%_Intercity_Foreign</t>
  </si>
  <si>
    <t>T+K_Foreign</t>
  </si>
  <si>
    <t>Rev/Trans_Foreign</t>
  </si>
  <si>
    <t>Rve/Day_Foreign</t>
  </si>
  <si>
    <t>Nb_Jours_Loc_Foreign</t>
  </si>
  <si>
    <t>Duree_Foreign</t>
  </si>
  <si>
    <t>RPU_Foreign</t>
  </si>
  <si>
    <t>Util_Foreign</t>
  </si>
  <si>
    <t>Car_Days_Foreign</t>
  </si>
  <si>
    <t>Flotte_Moyenne_Foreign</t>
  </si>
  <si>
    <t>Departs_Foreign</t>
  </si>
  <si>
    <t>Transaction_Combined</t>
  </si>
  <si>
    <t>%_local_Combined</t>
  </si>
  <si>
    <t>%_Intercity_Combined</t>
  </si>
  <si>
    <t>T+K_Combined</t>
  </si>
  <si>
    <t>Rev/Trans_Combined</t>
  </si>
  <si>
    <t>Rve/Day_Combined</t>
  </si>
  <si>
    <t>Nb_Jours_Loc_Combined</t>
  </si>
  <si>
    <t>Duree_Combined</t>
  </si>
  <si>
    <t>RPU_Combined</t>
  </si>
  <si>
    <t>Util_Combined</t>
  </si>
  <si>
    <t>Car_Days_Combined</t>
  </si>
  <si>
    <t>Flotte_Moyenne_Combined</t>
  </si>
  <si>
    <t>Departs_Combined</t>
  </si>
  <si>
    <t>CDW_Combined</t>
  </si>
  <si>
    <t>TP_Combined</t>
  </si>
  <si>
    <t>PAI_Combined</t>
  </si>
  <si>
    <t>OW_FEE_Combined</t>
  </si>
  <si>
    <t>Code</t>
  </si>
  <si>
    <t>04091</t>
  </si>
  <si>
    <t>04104</t>
  </si>
  <si>
    <t>mois ======&gt;</t>
  </si>
  <si>
    <t>04081</t>
  </si>
  <si>
    <t>OLN NORD</t>
  </si>
  <si>
    <t>00467</t>
  </si>
  <si>
    <t>OLN GARE</t>
  </si>
  <si>
    <t>01979</t>
  </si>
  <si>
    <t>GIEN</t>
  </si>
  <si>
    <t>05827</t>
  </si>
  <si>
    <t>MASSY TGV</t>
  </si>
  <si>
    <t>03695</t>
  </si>
  <si>
    <t>VILLEBON</t>
  </si>
  <si>
    <t>02242</t>
  </si>
  <si>
    <t>ETAMPES</t>
  </si>
  <si>
    <t>HALLES</t>
  </si>
  <si>
    <t>MONTGERON</t>
  </si>
  <si>
    <t>03994</t>
  </si>
  <si>
    <t>CHARTRES</t>
  </si>
  <si>
    <t>03683</t>
  </si>
  <si>
    <t>CHARTRES GARE</t>
  </si>
  <si>
    <t>04011</t>
  </si>
  <si>
    <t>DREUX</t>
  </si>
  <si>
    <t>01016</t>
  </si>
  <si>
    <t>DREUX GARE</t>
  </si>
  <si>
    <t>04098</t>
  </si>
  <si>
    <t>RAMBOUILLET</t>
  </si>
  <si>
    <t>04014</t>
  </si>
  <si>
    <t>VENDOME TGV</t>
  </si>
  <si>
    <t>05099</t>
  </si>
  <si>
    <t>VENDOME DT</t>
  </si>
  <si>
    <t>03967</t>
  </si>
  <si>
    <t>BLOIS DT</t>
  </si>
  <si>
    <t>00475</t>
  </si>
  <si>
    <t>BLOIS GARE</t>
  </si>
  <si>
    <t>01429</t>
  </si>
  <si>
    <t>MAINTENANCE</t>
  </si>
  <si>
    <t>13346</t>
  </si>
  <si>
    <t>UI9</t>
  </si>
  <si>
    <t>VEHICULES A SORTIR</t>
  </si>
  <si>
    <t>10088</t>
  </si>
  <si>
    <t>UI7</t>
  </si>
  <si>
    <t>CVO WISSOUS</t>
  </si>
  <si>
    <t>10087</t>
  </si>
  <si>
    <t>UI8</t>
  </si>
  <si>
    <t>CVO OLIVET</t>
  </si>
  <si>
    <t>10089</t>
  </si>
  <si>
    <t>UI6</t>
  </si>
  <si>
    <t>LD</t>
  </si>
  <si>
    <t>10853</t>
  </si>
  <si>
    <t>V7W</t>
  </si>
  <si>
    <t>CVO TROYES</t>
  </si>
  <si>
    <t>00439</t>
  </si>
  <si>
    <t>CAR CONTROL</t>
  </si>
  <si>
    <t>02172</t>
  </si>
  <si>
    <t>MONTARGIS</t>
  </si>
  <si>
    <t>04697</t>
  </si>
  <si>
    <t>ANTONY</t>
  </si>
  <si>
    <t>05979</t>
  </si>
  <si>
    <t>CHATEAUDUN</t>
  </si>
  <si>
    <t>05832</t>
  </si>
  <si>
    <t>PITHIVIERS</t>
  </si>
  <si>
    <t>03774</t>
  </si>
  <si>
    <t>ROMORANTIN</t>
  </si>
  <si>
    <t>01909</t>
  </si>
  <si>
    <t>NOGENT LE ROTROU</t>
  </si>
  <si>
    <t>03956</t>
  </si>
  <si>
    <t>AUXERRE DT</t>
  </si>
  <si>
    <t>01417</t>
  </si>
  <si>
    <t>AUXERRE GARE</t>
  </si>
  <si>
    <t>04107</t>
  </si>
  <si>
    <t>SENS DT</t>
  </si>
  <si>
    <t>03540</t>
  </si>
  <si>
    <t>SENS GARE</t>
  </si>
  <si>
    <t>02124</t>
  </si>
  <si>
    <t>AVALLON</t>
  </si>
  <si>
    <t>04230</t>
  </si>
  <si>
    <t>CHATEAUNEUF</t>
  </si>
  <si>
    <t>03579</t>
  </si>
  <si>
    <t>TROYES GARE</t>
  </si>
  <si>
    <t>02097</t>
  </si>
  <si>
    <t>TROYES DT</t>
  </si>
  <si>
    <t>03990</t>
  </si>
  <si>
    <t>CHEVILLY</t>
  </si>
  <si>
    <t>04696</t>
  </si>
  <si>
    <t>ROMILLY SUR SEINE</t>
  </si>
  <si>
    <t>ORLEANS SUD DT</t>
  </si>
  <si>
    <t>ANTONY VU</t>
  </si>
  <si>
    <t>AUXERRE VU</t>
  </si>
  <si>
    <t>AVALLON VU</t>
  </si>
  <si>
    <t>BLOIS VU</t>
  </si>
  <si>
    <t>CHARTRES VU</t>
  </si>
  <si>
    <t>CHATEAUDUN VU</t>
  </si>
  <si>
    <t>CHATEAUNEUF VU</t>
  </si>
  <si>
    <t>CHEVILLY VU</t>
  </si>
  <si>
    <t>DREUX VU</t>
  </si>
  <si>
    <t>ETAMPES VU</t>
  </si>
  <si>
    <t>GIEN VU</t>
  </si>
  <si>
    <t>VILLEBON VU</t>
  </si>
  <si>
    <t>MASSY VU</t>
  </si>
  <si>
    <t>MONTARGIS VU</t>
  </si>
  <si>
    <t>NOGENT LE ROTROU VU</t>
  </si>
  <si>
    <t>ORLEANS NORD VU</t>
  </si>
  <si>
    <t>ORLEANS SUD VU</t>
  </si>
  <si>
    <t>PITHIVIERS VU</t>
  </si>
  <si>
    <t>RAMBOUILLET VU</t>
  </si>
  <si>
    <t>ROMILLY SUR SEINE VU</t>
  </si>
  <si>
    <t>ROMORANTIN VU</t>
  </si>
  <si>
    <t>MONTGERON VU</t>
  </si>
  <si>
    <t>RUNGIS VU</t>
  </si>
  <si>
    <t>SENS VU</t>
  </si>
  <si>
    <t>TROYES VU</t>
  </si>
  <si>
    <t>VENDOME VU</t>
  </si>
  <si>
    <t>03973</t>
  </si>
  <si>
    <t>BOURGES DT</t>
  </si>
  <si>
    <t>01410</t>
  </si>
  <si>
    <t>BOURGES GARE</t>
  </si>
  <si>
    <t>50289</t>
  </si>
  <si>
    <t>BOURGES VU</t>
  </si>
  <si>
    <t>03468</t>
  </si>
  <si>
    <t>CHATEAUROUX DT</t>
  </si>
  <si>
    <t>01254</t>
  </si>
  <si>
    <t>CHATEAUROUX GARE</t>
  </si>
  <si>
    <t>CHATEAUROUX VU</t>
  </si>
  <si>
    <t>04001</t>
  </si>
  <si>
    <t>CLERMONT APT</t>
  </si>
  <si>
    <t>04042</t>
  </si>
  <si>
    <t>CLERMONT GARE</t>
  </si>
  <si>
    <t>04164</t>
  </si>
  <si>
    <t>CLERMONT DT</t>
  </si>
  <si>
    <t>CLERMONT VU</t>
  </si>
  <si>
    <t>00573</t>
  </si>
  <si>
    <t>ISSOUDUN DT</t>
  </si>
  <si>
    <t>ISSOUDUN VU</t>
  </si>
  <si>
    <t>04061</t>
  </si>
  <si>
    <t>MONTLUCON DT</t>
  </si>
  <si>
    <t>02245</t>
  </si>
  <si>
    <t>MONTLUCON GARE</t>
  </si>
  <si>
    <t>MONTLUCON VU</t>
  </si>
  <si>
    <t>01518</t>
  </si>
  <si>
    <t>MOULINS DT</t>
  </si>
  <si>
    <t>04900</t>
  </si>
  <si>
    <t>MOULINS GARE</t>
  </si>
  <si>
    <t>MOULINS VU</t>
  </si>
  <si>
    <t>04074</t>
  </si>
  <si>
    <t>NEVERS DT</t>
  </si>
  <si>
    <t>03645</t>
  </si>
  <si>
    <t>NEVERS GARE</t>
  </si>
  <si>
    <t>NEVERS VU</t>
  </si>
  <si>
    <t>04144</t>
  </si>
  <si>
    <t>VIERZON DT</t>
  </si>
  <si>
    <t>03577</t>
  </si>
  <si>
    <t>VIERZON GARE</t>
  </si>
  <si>
    <t>VIERZON VU</t>
  </si>
  <si>
    <t>IMPLANT FAURECIA</t>
  </si>
  <si>
    <t>DISTRICT RUNGIS</t>
  </si>
  <si>
    <t>DISTRICT CHARTRES</t>
  </si>
  <si>
    <t>UI5</t>
  </si>
  <si>
    <t>Z4R</t>
  </si>
  <si>
    <t>FD1</t>
  </si>
  <si>
    <t>10090</t>
  </si>
  <si>
    <t>10737</t>
  </si>
  <si>
    <t>13410</t>
  </si>
  <si>
    <t>DH5</t>
  </si>
  <si>
    <t>10748</t>
  </si>
  <si>
    <t>CVO RAMBOUILLET</t>
  </si>
  <si>
    <t>??</t>
  </si>
  <si>
    <t>CVO CLERMONT</t>
  </si>
  <si>
    <t>CVO BOURGES</t>
  </si>
  <si>
    <t>55652</t>
  </si>
  <si>
    <t>50040</t>
  </si>
  <si>
    <t>50910</t>
  </si>
  <si>
    <t>50912</t>
  </si>
  <si>
    <t>50919</t>
  </si>
  <si>
    <t>50920</t>
  </si>
  <si>
    <t>50921</t>
  </si>
  <si>
    <t>50924</t>
  </si>
  <si>
    <t>50926</t>
  </si>
  <si>
    <t>50929</t>
  </si>
  <si>
    <t>50930</t>
  </si>
  <si>
    <t>50931</t>
  </si>
  <si>
    <t>50933</t>
  </si>
  <si>
    <t>50934</t>
  </si>
  <si>
    <t>50935</t>
  </si>
  <si>
    <t>50936</t>
  </si>
  <si>
    <t>50944</t>
  </si>
  <si>
    <t>50974</t>
  </si>
  <si>
    <t>50977</t>
  </si>
  <si>
    <t>50979</t>
  </si>
  <si>
    <t>50981</t>
  </si>
  <si>
    <t>50982</t>
  </si>
  <si>
    <t>50983</t>
  </si>
  <si>
    <t>50985</t>
  </si>
  <si>
    <t>50987</t>
  </si>
  <si>
    <t>50989</t>
  </si>
  <si>
    <t>50991</t>
  </si>
  <si>
    <t>50352</t>
  </si>
  <si>
    <t>50889</t>
  </si>
  <si>
    <t>50354</t>
  </si>
  <si>
    <t>50890</t>
  </si>
  <si>
    <t>54767</t>
  </si>
  <si>
    <t>50288</t>
  </si>
  <si>
    <t>50329</t>
  </si>
  <si>
    <t>50927</t>
  </si>
  <si>
    <t>V9G</t>
  </si>
  <si>
    <t>CARROSSERIE</t>
  </si>
  <si>
    <t>10653</t>
  </si>
  <si>
    <t>CA VEHIC EXT</t>
  </si>
  <si>
    <t>RO</t>
  </si>
  <si>
    <t>RI</t>
  </si>
  <si>
    <t>DUREE</t>
  </si>
  <si>
    <t>REV/RA</t>
  </si>
  <si>
    <t>REV/JOUR</t>
  </si>
  <si>
    <t>CA TMI N-1</t>
  </si>
  <si>
    <t>% PROGRESS</t>
  </si>
  <si>
    <t>CA TOTAL N-1</t>
  </si>
  <si>
    <t>TK EXT/TK TOTAL</t>
  </si>
  <si>
    <t>USED</t>
  </si>
  <si>
    <t>RO N-1</t>
  </si>
  <si>
    <t>RI N-1</t>
  </si>
  <si>
    <t>NBJ</t>
  </si>
  <si>
    <t>NBJ N-1</t>
  </si>
  <si>
    <t>DIFF</t>
  </si>
  <si>
    <t>MASSY</t>
  </si>
  <si>
    <t>LES ULIS</t>
  </si>
  <si>
    <t>ORLEANS NORD</t>
  </si>
  <si>
    <t>SECTEUR ORLEANS</t>
  </si>
  <si>
    <t>BLOIS</t>
  </si>
  <si>
    <t>VENDOME</t>
  </si>
  <si>
    <t>SECTEUR BLOIS</t>
  </si>
  <si>
    <t>SECTEUR MONTARGIS</t>
  </si>
  <si>
    <t>AUXERRE</t>
  </si>
  <si>
    <t>SENS</t>
  </si>
  <si>
    <t>SECTEUR AUXERRE</t>
  </si>
  <si>
    <t>TROYES</t>
  </si>
  <si>
    <t>NEVERS</t>
  </si>
  <si>
    <t>MOULINS</t>
  </si>
  <si>
    <t>SECTEUR NEVERS</t>
  </si>
  <si>
    <t>MONTLUCON</t>
  </si>
  <si>
    <t>SECTEUR CLERMONT</t>
  </si>
  <si>
    <t>BOURGES</t>
  </si>
  <si>
    <t>VIERZON</t>
  </si>
  <si>
    <t>SECTEUR BOURGES</t>
  </si>
  <si>
    <t>CHATEAUROUX</t>
  </si>
  <si>
    <t>ISSOUDUN</t>
  </si>
  <si>
    <t>TOTAL CONCESSION</t>
  </si>
  <si>
    <t>Nbj Total Travaillé N-1</t>
  </si>
  <si>
    <t>Nbj Travaillé N-1</t>
  </si>
  <si>
    <t>Nbj Total Travaillé N</t>
  </si>
  <si>
    <t>Nbj Travaillé N</t>
  </si>
  <si>
    <t>RUNGIS</t>
  </si>
  <si>
    <t>DISTRICT ORLEANS</t>
  </si>
  <si>
    <t>SECTEUR CHARTRES</t>
  </si>
  <si>
    <t>SECTEUR ETAMPES</t>
  </si>
  <si>
    <t>SECTEUR MASSY</t>
  </si>
  <si>
    <t>DISTRICT SENS</t>
  </si>
  <si>
    <t>DISTRICT POLE LOIRE</t>
  </si>
  <si>
    <t>TK EXT/
TK TOTAL</t>
  </si>
  <si>
    <t>%
PROGRESS</t>
  </si>
  <si>
    <t>CA TOTAL
N-1</t>
  </si>
  <si>
    <t>REV/
RA</t>
  </si>
  <si>
    <t>REV/
JOUR</t>
  </si>
  <si>
    <t>CA
VEHIC
EXT</t>
  </si>
  <si>
    <t xml:space="preserve"> </t>
  </si>
  <si>
    <t>CHARTRES DT</t>
  </si>
  <si>
    <t>NOGENT ROTROU F</t>
  </si>
  <si>
    <t>CHATEAUDUN DT F</t>
  </si>
  <si>
    <t>ETAMPES DT</t>
  </si>
  <si>
    <t>PITHIVIERS DT</t>
  </si>
  <si>
    <t>DREUX DT FR</t>
  </si>
  <si>
    <t>RAMBOUILLET DT</t>
  </si>
  <si>
    <t>RUNGIS HALLES</t>
  </si>
  <si>
    <t>RUNGIS DT</t>
  </si>
  <si>
    <t>MASSY GARE TGV</t>
  </si>
  <si>
    <t>ULIS VILLEBON</t>
  </si>
  <si>
    <t>ANTONY DT FR</t>
  </si>
  <si>
    <t>ORLEANS DT</t>
  </si>
  <si>
    <t>ORLEANS GARE</t>
  </si>
  <si>
    <t>ROMORANTIN DT F</t>
  </si>
  <si>
    <t>MONTARGIS DT</t>
  </si>
  <si>
    <t>GARAGE CROISE F</t>
  </si>
  <si>
    <t>SENS GARE FR</t>
  </si>
  <si>
    <t>NEVERS GARE  FR</t>
  </si>
  <si>
    <t>MOULINS DT FR</t>
  </si>
  <si>
    <t>CLERMONT F DT F</t>
  </si>
  <si>
    <t>CLERMONT F GARE</t>
  </si>
  <si>
    <t>CHATEAUROUX GAR</t>
  </si>
  <si>
    <t>ISSOUDUN DT FR</t>
  </si>
  <si>
    <t>CHARTRES DT VU</t>
  </si>
  <si>
    <t>NOG ROTROU VU F</t>
  </si>
  <si>
    <t>CHATEAUDUN DTVU</t>
  </si>
  <si>
    <t>ETAMPES DT VU F</t>
  </si>
  <si>
    <t>DREUX DT VU FR</t>
  </si>
  <si>
    <t>RUNGIS HALL VU</t>
  </si>
  <si>
    <t>RUNGIS DT VU FR</t>
  </si>
  <si>
    <t>U VILLEBON VU F</t>
  </si>
  <si>
    <t>ANTONY DT VU FR</t>
  </si>
  <si>
    <t>ORLEANS DT  VU</t>
  </si>
  <si>
    <t>BLOIS DT VU FR</t>
  </si>
  <si>
    <t>VENDOME DT VU F</t>
  </si>
  <si>
    <t>MONTARGIS DT VU</t>
  </si>
  <si>
    <t>GARAGE CROIS VU</t>
  </si>
  <si>
    <t>AUXERRE DT VU F</t>
  </si>
  <si>
    <t>SENS DT VU FR</t>
  </si>
  <si>
    <t>TROYES DT VU FR</t>
  </si>
  <si>
    <t>NEVERS DT VU FR</t>
  </si>
  <si>
    <t>MOULINS DT VU F</t>
  </si>
  <si>
    <t>CLERM FE DT VU</t>
  </si>
  <si>
    <t>MONTLUCON DT VU</t>
  </si>
  <si>
    <t>BOURGES DT VU F</t>
  </si>
  <si>
    <t>VIERZON DT VU F</t>
  </si>
  <si>
    <t>ISSOUDUN DT VU</t>
  </si>
  <si>
    <t>RUNGIS MIL EXVU</t>
  </si>
  <si>
    <t>CVO RUNGIS</t>
  </si>
  <si>
    <t>CVO WISSOUS FR</t>
  </si>
  <si>
    <t>CVO ORLEANS FR</t>
  </si>
  <si>
    <t>CVO CHARTRES FR</t>
  </si>
  <si>
    <t>CVO TROYES FR</t>
  </si>
  <si>
    <t>CVORAMBOUILLET</t>
  </si>
  <si>
    <t>CVO DREUX FR</t>
  </si>
  <si>
    <t>CVO CLERMONT-F</t>
  </si>
  <si>
    <t>CVO BOURGES FR</t>
  </si>
  <si>
    <t>WISSOUS C.C</t>
  </si>
  <si>
    <t>jour</t>
  </si>
  <si>
    <t xml:space="preserve">mois </t>
  </si>
  <si>
    <t xml:space="preserve">année </t>
  </si>
  <si>
    <t>SECTEUR MONTLUCON</t>
  </si>
  <si>
    <t>MASSOUTRE ATELI</t>
  </si>
  <si>
    <t>CHARTRES GARE F</t>
  </si>
  <si>
    <t>MASSY GARE VU F</t>
  </si>
  <si>
    <t>ROMORANTIN VU F</t>
  </si>
  <si>
    <t>PITHIVIERS VU F</t>
  </si>
  <si>
    <t>CLERMONT F APT</t>
  </si>
  <si>
    <t>03247</t>
  </si>
  <si>
    <t>50398</t>
  </si>
  <si>
    <t>AUBENAS VL</t>
  </si>
  <si>
    <t>AUBENAS VU</t>
  </si>
  <si>
    <t>AUBENAS</t>
  </si>
  <si>
    <t>AUBENAS DT FR</t>
  </si>
  <si>
    <t>AUBENAS DT VU F</t>
  </si>
  <si>
    <t>3</t>
  </si>
  <si>
    <t>2022</t>
  </si>
  <si>
    <t>CA TMI
2022</t>
  </si>
  <si>
    <t>29</t>
  </si>
  <si>
    <t>30</t>
  </si>
  <si>
    <t>31</t>
  </si>
  <si>
    <t>07</t>
  </si>
  <si>
    <t>JUL22</t>
  </si>
  <si>
    <t>28</t>
  </si>
  <si>
    <t>VU au 28/07/2022</t>
  </si>
  <si>
    <t>VL au 28/07/2022</t>
  </si>
  <si>
    <t>CUMUL au 28/07/2022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</si>
</sst>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\-yyyy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MS Sans Serif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4">
    <xf numFmtId="0" fontId="0" fillId="0" borderId="0" xfId="0"/>
    <xf numFmtId="3" fontId="0" fillId="0" borderId="0" xfId="0" applyNumberFormat="1"/>
    <xf numFmtId="164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49" fontId="0" fillId="0" borderId="0" xfId="0" quotePrefix="1" applyNumberFormat="1" applyAlignment="1">
      <alignment horizontal="right"/>
    </xf>
    <xf numFmtId="10" fontId="1" fillId="0" borderId="0" xfId="1" applyNumberFormat="1" applyFont="1"/>
    <xf numFmtId="10" fontId="0" fillId="0" borderId="0" xfId="0" applyNumberFormat="1"/>
    <xf numFmtId="3" fontId="0" fillId="0" borderId="0" xfId="0" applyNumberFormat="1" applyFill="1"/>
    <xf numFmtId="0" fontId="0" fillId="0" borderId="0" xfId="0" applyFill="1" applyAlignment="1">
      <alignment horizontal="center"/>
    </xf>
    <xf numFmtId="0" fontId="0" fillId="0" borderId="0" xfId="0" applyFill="1"/>
    <xf numFmtId="10" fontId="0" fillId="0" borderId="0" xfId="0" applyNumberFormat="1" applyFill="1"/>
    <xf numFmtId="10" fontId="1" fillId="0" borderId="0" xfId="1" applyNumberFormat="1" applyFont="1" applyFill="1"/>
    <xf numFmtId="1" fontId="0" fillId="0" borderId="0" xfId="0" applyNumberFormat="1" applyFill="1"/>
    <xf numFmtId="2" fontId="0" fillId="0" borderId="0" xfId="0" applyNumberFormat="1" applyFill="1"/>
    <xf numFmtId="0" fontId="0" fillId="0" borderId="1" xfId="0" applyFill="1" applyBorder="1"/>
    <xf numFmtId="3" fontId="0" fillId="0" borderId="1" xfId="0" applyNumberFormat="1" applyFill="1" applyBorder="1"/>
    <xf numFmtId="10" fontId="0" fillId="0" borderId="1" xfId="0" applyNumberFormat="1" applyFill="1" applyBorder="1"/>
    <xf numFmtId="10" fontId="1" fillId="0" borderId="1" xfId="1" applyNumberFormat="1" applyFont="1" applyFill="1" applyBorder="1"/>
    <xf numFmtId="1" fontId="0" fillId="0" borderId="1" xfId="0" applyNumberFormat="1" applyFill="1" applyBorder="1"/>
    <xf numFmtId="2" fontId="0" fillId="0" borderId="1" xfId="0" applyNumberFormat="1" applyFill="1" applyBorder="1"/>
    <xf numFmtId="0" fontId="0" fillId="2" borderId="1" xfId="0" applyFill="1" applyBorder="1"/>
    <xf numFmtId="17" fontId="0" fillId="0" borderId="0" xfId="0" quotePrefix="1" applyNumberFormat="1" applyProtection="1">
      <protection locked="0"/>
    </xf>
    <xf numFmtId="0" fontId="0" fillId="0" borderId="0" xfId="0" applyProtection="1"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2" fillId="0" borderId="1" xfId="0" applyFont="1" applyFill="1" applyBorder="1" applyAlignment="1">
      <alignment horizontal="center"/>
    </xf>
    <xf numFmtId="10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wrapText="1"/>
    </xf>
    <xf numFmtId="10" fontId="2" fillId="0" borderId="1" xfId="0" applyNumberFormat="1" applyFont="1" applyFill="1" applyBorder="1" applyAlignment="1">
      <alignment horizontal="center" wrapText="1"/>
    </xf>
    <xf numFmtId="4" fontId="0" fillId="0" borderId="0" xfId="0" applyNumberFormat="1"/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0" fillId="0" borderId="0" xfId="0" applyNumberFormat="1" applyAlignment="1">
      <alignment wrapText="1"/>
    </xf>
    <xf numFmtId="0" fontId="0" fillId="0" borderId="0" xfId="0" applyFill="1" applyBorder="1"/>
    <xf numFmtId="3" fontId="0" fillId="0" borderId="0" xfId="0" applyNumberFormat="1" applyFill="1" applyBorder="1"/>
    <xf numFmtId="10" fontId="0" fillId="0" borderId="0" xfId="0" applyNumberFormat="1" applyFill="1" applyBorder="1"/>
    <xf numFmtId="2" fontId="0" fillId="0" borderId="0" xfId="0" applyNumberFormat="1" applyFill="1" applyBorder="1"/>
    <xf numFmtId="0" fontId="0" fillId="5" borderId="1" xfId="0" applyFill="1" applyBorder="1"/>
    <xf numFmtId="49" fontId="0" fillId="0" borderId="6" xfId="0" applyNumberFormat="1" applyBorder="1" applyAlignment="1">
      <alignment horizontal="center" vertical="center"/>
    </xf>
    <xf numFmtId="0" fontId="0" fillId="0" borderId="0" xfId="0" applyFont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49" fontId="0" fillId="0" borderId="1" xfId="0" applyNumberFormat="1" applyFill="1" applyBorder="1" applyAlignment="1">
      <alignment horizontal="center" vertical="center"/>
    </xf>
    <xf numFmtId="49" fontId="5" fillId="0" borderId="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/>
    </xf>
    <xf numFmtId="0" fontId="0" fillId="0" borderId="0" xfId="0" quotePrefix="1" applyFill="1"/>
    <xf numFmtId="1" fontId="2" fillId="0" borderId="1" xfId="0" applyNumberFormat="1" applyFont="1" applyFill="1" applyBorder="1" applyAlignment="1">
      <alignment horizontal="center"/>
    </xf>
    <xf numFmtId="1" fontId="0" fillId="0" borderId="0" xfId="0" applyNumberFormat="1" applyFill="1" applyBorder="1"/>
    <xf numFmtId="49" fontId="0" fillId="0" borderId="2" xfId="0" applyNumberFormat="1" applyBorder="1" applyAlignment="1">
      <alignment horizontal="center"/>
    </xf>
    <xf numFmtId="49" fontId="0" fillId="0" borderId="5" xfId="0" applyNumberFormat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1</xdr:row>
          <xdr:rowOff>47625</xdr:rowOff>
        </xdr:from>
        <xdr:to>
          <xdr:col>4</xdr:col>
          <xdr:colOff>552450</xdr:colOff>
          <xdr:row>2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MS Sans Serif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G100"/>
  <sheetViews>
    <sheetView workbookViewId="0">
      <selection activeCell="A29" sqref="A29"/>
    </sheetView>
  </sheetViews>
  <sheetFormatPr baseColWidth="10" defaultRowHeight="15" x14ac:dyDescent="0.25"/>
  <cols>
    <col min="2" max="2" width="12.28515625" bestFit="1" customWidth="1"/>
    <col min="4" max="4" width="22" bestFit="1" customWidth="1"/>
  </cols>
  <sheetData>
    <row r="1" spans="1:7" ht="15.75" thickBot="1" x14ac:dyDescent="0.3">
      <c r="A1" t="s">
        <v>46</v>
      </c>
      <c r="B1" t="s">
        <v>49</v>
      </c>
      <c r="C1" s="24" t="s">
        <v>394</v>
      </c>
    </row>
    <row r="2" spans="1:7" ht="15.75" thickBot="1" x14ac:dyDescent="0.3">
      <c r="A2" s="4" t="s">
        <v>64</v>
      </c>
      <c r="B2" s="5"/>
      <c r="D2" t="s">
        <v>65</v>
      </c>
      <c r="F2" s="32" t="s">
        <v>370</v>
      </c>
      <c r="G2" s="51" t="s">
        <v>395</v>
      </c>
    </row>
    <row r="3" spans="1:7" ht="15.75" thickBot="1" x14ac:dyDescent="0.3">
      <c r="A3" s="4" t="s">
        <v>66</v>
      </c>
      <c r="B3" s="5"/>
      <c r="D3" t="s">
        <v>67</v>
      </c>
      <c r="F3" s="33" t="s">
        <v>371</v>
      </c>
      <c r="G3" s="42" t="s">
        <v>393</v>
      </c>
    </row>
    <row r="4" spans="1:7" ht="15.75" thickBot="1" x14ac:dyDescent="0.3">
      <c r="A4" s="6" t="s">
        <v>111</v>
      </c>
      <c r="B4" s="5"/>
      <c r="D4" t="s">
        <v>112</v>
      </c>
      <c r="F4" s="34" t="s">
        <v>372</v>
      </c>
      <c r="G4" s="52" t="s">
        <v>388</v>
      </c>
    </row>
    <row r="5" spans="1:7" x14ac:dyDescent="0.25">
      <c r="A5" s="4" t="s">
        <v>105</v>
      </c>
      <c r="B5" s="5"/>
      <c r="D5" t="s">
        <v>106</v>
      </c>
    </row>
    <row r="6" spans="1:7" x14ac:dyDescent="0.25">
      <c r="A6" s="4" t="s">
        <v>60</v>
      </c>
      <c r="B6" s="5"/>
      <c r="D6" t="s">
        <v>61</v>
      </c>
    </row>
    <row r="7" spans="1:7" x14ac:dyDescent="0.25">
      <c r="A7" s="5">
        <v>55652</v>
      </c>
      <c r="B7" s="5"/>
      <c r="D7" t="s">
        <v>201</v>
      </c>
    </row>
    <row r="8" spans="1:7" x14ac:dyDescent="0.25">
      <c r="A8" s="4" t="s">
        <v>107</v>
      </c>
      <c r="B8" s="5"/>
      <c r="D8" t="s">
        <v>108</v>
      </c>
    </row>
    <row r="9" spans="1:7" x14ac:dyDescent="0.25">
      <c r="A9" s="4" t="s">
        <v>68</v>
      </c>
      <c r="B9" s="5"/>
      <c r="D9" t="s">
        <v>69</v>
      </c>
    </row>
    <row r="10" spans="1:7" x14ac:dyDescent="0.25">
      <c r="A10" s="4" t="s">
        <v>70</v>
      </c>
      <c r="B10" s="5"/>
      <c r="D10" t="s">
        <v>71</v>
      </c>
    </row>
    <row r="11" spans="1:7" x14ac:dyDescent="0.25">
      <c r="A11" s="4" t="s">
        <v>72</v>
      </c>
      <c r="B11" s="5"/>
      <c r="D11" t="s">
        <v>73</v>
      </c>
    </row>
    <row r="12" spans="1:7" x14ac:dyDescent="0.25">
      <c r="A12" s="4" t="s">
        <v>47</v>
      </c>
      <c r="B12" s="5"/>
      <c r="D12" t="s">
        <v>62</v>
      </c>
    </row>
    <row r="13" spans="1:7" x14ac:dyDescent="0.25">
      <c r="A13" s="4" t="s">
        <v>129</v>
      </c>
      <c r="B13" s="5"/>
      <c r="D13" t="s">
        <v>130</v>
      </c>
    </row>
    <row r="14" spans="1:7" x14ac:dyDescent="0.25">
      <c r="A14" s="4" t="s">
        <v>48</v>
      </c>
      <c r="B14" s="5"/>
      <c r="D14" t="s">
        <v>63</v>
      </c>
    </row>
    <row r="15" spans="1:7" x14ac:dyDescent="0.25">
      <c r="A15" s="4" t="s">
        <v>56</v>
      </c>
      <c r="B15" s="5"/>
      <c r="D15" t="s">
        <v>57</v>
      </c>
    </row>
    <row r="16" spans="1:7" x14ac:dyDescent="0.25">
      <c r="A16" s="4" t="s">
        <v>58</v>
      </c>
      <c r="B16" s="5"/>
      <c r="D16" t="s">
        <v>59</v>
      </c>
    </row>
    <row r="17" spans="1:4" x14ac:dyDescent="0.25">
      <c r="A17" s="4" t="s">
        <v>103</v>
      </c>
      <c r="B17" s="5"/>
      <c r="D17" t="s">
        <v>104</v>
      </c>
    </row>
    <row r="18" spans="1:4" x14ac:dyDescent="0.25">
      <c r="A18" s="4" t="s">
        <v>50</v>
      </c>
      <c r="B18" s="5"/>
      <c r="D18" t="s">
        <v>51</v>
      </c>
    </row>
    <row r="19" spans="1:4" x14ac:dyDescent="0.25">
      <c r="A19" s="6" t="s">
        <v>52</v>
      </c>
      <c r="B19" s="5"/>
      <c r="D19" t="s">
        <v>53</v>
      </c>
    </row>
    <row r="20" spans="1:4" x14ac:dyDescent="0.25">
      <c r="A20" s="5">
        <v>50040</v>
      </c>
      <c r="B20" s="5"/>
      <c r="D20" t="s">
        <v>133</v>
      </c>
    </row>
    <row r="21" spans="1:4" x14ac:dyDescent="0.25">
      <c r="A21" s="6" t="s">
        <v>123</v>
      </c>
      <c r="B21" s="5"/>
      <c r="D21" t="s">
        <v>124</v>
      </c>
    </row>
    <row r="22" spans="1:4" x14ac:dyDescent="0.25">
      <c r="A22" s="4" t="s">
        <v>78</v>
      </c>
      <c r="B22" s="5"/>
      <c r="D22" t="s">
        <v>79</v>
      </c>
    </row>
    <row r="23" spans="1:4" x14ac:dyDescent="0.25">
      <c r="A23" s="4" t="s">
        <v>80</v>
      </c>
      <c r="B23" s="5"/>
      <c r="D23" t="s">
        <v>81</v>
      </c>
    </row>
    <row r="24" spans="1:4" x14ac:dyDescent="0.25">
      <c r="A24" s="4" t="s">
        <v>109</v>
      </c>
      <c r="B24" s="5"/>
      <c r="D24" t="s">
        <v>110</v>
      </c>
    </row>
    <row r="25" spans="1:4" x14ac:dyDescent="0.25">
      <c r="A25" s="4" t="s">
        <v>74</v>
      </c>
      <c r="B25" s="5"/>
      <c r="D25" t="s">
        <v>75</v>
      </c>
    </row>
    <row r="26" spans="1:4" x14ac:dyDescent="0.25">
      <c r="A26" s="4" t="s">
        <v>76</v>
      </c>
      <c r="B26" s="5"/>
      <c r="D26" t="s">
        <v>77</v>
      </c>
    </row>
    <row r="27" spans="1:4" x14ac:dyDescent="0.25">
      <c r="A27" s="4" t="s">
        <v>101</v>
      </c>
      <c r="B27" s="5"/>
      <c r="D27" t="s">
        <v>102</v>
      </c>
    </row>
    <row r="28" spans="1:4" x14ac:dyDescent="0.25">
      <c r="A28" s="4" t="s">
        <v>54</v>
      </c>
      <c r="B28" s="5"/>
      <c r="D28" t="s">
        <v>55</v>
      </c>
    </row>
    <row r="29" spans="1:4" x14ac:dyDescent="0.25">
      <c r="A29" s="6" t="s">
        <v>113</v>
      </c>
      <c r="B29" s="5"/>
      <c r="D29" t="s">
        <v>114</v>
      </c>
    </row>
    <row r="30" spans="1:4" x14ac:dyDescent="0.25">
      <c r="A30" s="7" t="s">
        <v>115</v>
      </c>
      <c r="B30" s="5"/>
      <c r="D30" t="s">
        <v>116</v>
      </c>
    </row>
    <row r="31" spans="1:4" x14ac:dyDescent="0.25">
      <c r="A31" s="6" t="s">
        <v>121</v>
      </c>
      <c r="B31" s="5"/>
      <c r="D31" t="s">
        <v>122</v>
      </c>
    </row>
    <row r="32" spans="1:4" x14ac:dyDescent="0.25">
      <c r="A32" s="6" t="s">
        <v>117</v>
      </c>
      <c r="B32" s="5"/>
      <c r="D32" t="s">
        <v>118</v>
      </c>
    </row>
    <row r="33" spans="1:4" x14ac:dyDescent="0.25">
      <c r="A33" s="6" t="s">
        <v>119</v>
      </c>
      <c r="B33" s="5"/>
      <c r="D33" t="s">
        <v>120</v>
      </c>
    </row>
    <row r="34" spans="1:4" x14ac:dyDescent="0.25">
      <c r="A34" s="4" t="s">
        <v>125</v>
      </c>
      <c r="D34" t="s">
        <v>126</v>
      </c>
    </row>
    <row r="35" spans="1:4" x14ac:dyDescent="0.25">
      <c r="A35" s="4" t="s">
        <v>127</v>
      </c>
      <c r="D35" t="s">
        <v>128</v>
      </c>
    </row>
    <row r="36" spans="1:4" x14ac:dyDescent="0.25">
      <c r="A36" s="6" t="s">
        <v>131</v>
      </c>
      <c r="B36" s="5"/>
      <c r="D36" t="s">
        <v>132</v>
      </c>
    </row>
    <row r="37" spans="1:4" x14ac:dyDescent="0.25">
      <c r="A37" s="6" t="s">
        <v>191</v>
      </c>
      <c r="B37" s="5"/>
      <c r="D37" t="s">
        <v>192</v>
      </c>
    </row>
    <row r="38" spans="1:4" x14ac:dyDescent="0.25">
      <c r="A38" s="6" t="s">
        <v>193</v>
      </c>
      <c r="B38" s="5"/>
      <c r="D38" t="s">
        <v>194</v>
      </c>
    </row>
    <row r="39" spans="1:4" x14ac:dyDescent="0.25">
      <c r="A39" s="6" t="s">
        <v>186</v>
      </c>
      <c r="B39" s="5"/>
      <c r="D39" t="s">
        <v>187</v>
      </c>
    </row>
    <row r="40" spans="1:4" x14ac:dyDescent="0.25">
      <c r="A40" s="6" t="s">
        <v>188</v>
      </c>
      <c r="B40" s="5"/>
      <c r="D40" t="s">
        <v>189</v>
      </c>
    </row>
    <row r="41" spans="1:4" x14ac:dyDescent="0.25">
      <c r="A41" s="6" t="s">
        <v>175</v>
      </c>
      <c r="B41" s="5"/>
      <c r="D41" t="s">
        <v>176</v>
      </c>
    </row>
    <row r="42" spans="1:4" x14ac:dyDescent="0.25">
      <c r="A42" s="6" t="s">
        <v>171</v>
      </c>
      <c r="B42" s="5"/>
      <c r="D42" t="s">
        <v>172</v>
      </c>
    </row>
    <row r="43" spans="1:4" x14ac:dyDescent="0.25">
      <c r="A43" s="6" t="s">
        <v>173</v>
      </c>
      <c r="B43" s="5"/>
      <c r="D43" t="s">
        <v>174</v>
      </c>
    </row>
    <row r="44" spans="1:4" x14ac:dyDescent="0.25">
      <c r="A44" s="6" t="s">
        <v>181</v>
      </c>
      <c r="B44" s="5"/>
      <c r="D44" t="s">
        <v>182</v>
      </c>
    </row>
    <row r="45" spans="1:4" x14ac:dyDescent="0.25">
      <c r="A45" s="6" t="s">
        <v>183</v>
      </c>
      <c r="B45" s="5"/>
      <c r="D45" t="s">
        <v>184</v>
      </c>
    </row>
    <row r="46" spans="1:4" x14ac:dyDescent="0.25">
      <c r="A46" s="6" t="s">
        <v>160</v>
      </c>
      <c r="B46" s="5"/>
      <c r="D46" t="s">
        <v>161</v>
      </c>
    </row>
    <row r="47" spans="1:4" x14ac:dyDescent="0.25">
      <c r="A47" s="6" t="s">
        <v>162</v>
      </c>
      <c r="B47" s="5"/>
      <c r="D47" t="s">
        <v>163</v>
      </c>
    </row>
    <row r="48" spans="1:4" x14ac:dyDescent="0.25">
      <c r="A48" s="6" t="s">
        <v>196</v>
      </c>
      <c r="B48" s="5"/>
      <c r="D48" t="s">
        <v>197</v>
      </c>
    </row>
    <row r="49" spans="1:4" x14ac:dyDescent="0.25">
      <c r="A49" s="6" t="s">
        <v>198</v>
      </c>
      <c r="B49" s="5"/>
      <c r="D49" t="s">
        <v>199</v>
      </c>
    </row>
    <row r="50" spans="1:4" x14ac:dyDescent="0.25">
      <c r="A50" s="6" t="s">
        <v>166</v>
      </c>
      <c r="B50" s="5"/>
      <c r="D50" t="s">
        <v>167</v>
      </c>
    </row>
    <row r="51" spans="1:4" x14ac:dyDescent="0.25">
      <c r="A51" s="6" t="s">
        <v>168</v>
      </c>
      <c r="B51" s="5"/>
      <c r="D51" t="s">
        <v>169</v>
      </c>
    </row>
    <row r="52" spans="1:4" x14ac:dyDescent="0.25">
      <c r="A52" s="6" t="s">
        <v>178</v>
      </c>
      <c r="B52" s="5"/>
      <c r="D52" t="s">
        <v>179</v>
      </c>
    </row>
    <row r="53" spans="1:4" x14ac:dyDescent="0.25">
      <c r="A53">
        <v>50921</v>
      </c>
      <c r="B53" s="5"/>
      <c r="D53" t="s">
        <v>138</v>
      </c>
    </row>
    <row r="54" spans="1:4" x14ac:dyDescent="0.25">
      <c r="A54">
        <v>50936</v>
      </c>
      <c r="B54" s="5"/>
      <c r="D54" t="s">
        <v>148</v>
      </c>
    </row>
    <row r="55" spans="1:4" x14ac:dyDescent="0.25">
      <c r="A55">
        <v>50924</v>
      </c>
      <c r="B55" s="5"/>
      <c r="D55" t="s">
        <v>139</v>
      </c>
    </row>
    <row r="56" spans="1:4" x14ac:dyDescent="0.25">
      <c r="A56">
        <v>50930</v>
      </c>
      <c r="B56" s="5"/>
      <c r="D56" t="s">
        <v>143</v>
      </c>
    </row>
    <row r="57" spans="1:4" x14ac:dyDescent="0.25">
      <c r="A57">
        <v>50977</v>
      </c>
      <c r="B57" s="5"/>
      <c r="D57" t="s">
        <v>151</v>
      </c>
    </row>
    <row r="58" spans="1:4" x14ac:dyDescent="0.25">
      <c r="A58">
        <v>50929</v>
      </c>
      <c r="B58" s="5"/>
      <c r="D58" t="s">
        <v>142</v>
      </c>
    </row>
    <row r="59" spans="1:4" x14ac:dyDescent="0.25">
      <c r="A59">
        <v>50979</v>
      </c>
      <c r="B59" s="5"/>
      <c r="D59" t="s">
        <v>152</v>
      </c>
    </row>
    <row r="60" spans="1:4" x14ac:dyDescent="0.25">
      <c r="A60">
        <v>50985</v>
      </c>
      <c r="B60" s="5"/>
      <c r="D60" t="s">
        <v>156</v>
      </c>
    </row>
    <row r="61" spans="1:4" x14ac:dyDescent="0.25">
      <c r="A61">
        <v>50927</v>
      </c>
      <c r="B61" s="5"/>
      <c r="D61" t="s">
        <v>141</v>
      </c>
    </row>
    <row r="62" spans="1:4" x14ac:dyDescent="0.25">
      <c r="A62">
        <v>50983</v>
      </c>
      <c r="B62" s="5"/>
      <c r="D62" t="s">
        <v>155</v>
      </c>
    </row>
    <row r="63" spans="1:4" x14ac:dyDescent="0.25">
      <c r="A63">
        <v>50934</v>
      </c>
      <c r="B63" s="5"/>
      <c r="D63" t="s">
        <v>146</v>
      </c>
    </row>
    <row r="64" spans="1:4" x14ac:dyDescent="0.25">
      <c r="A64">
        <v>50933</v>
      </c>
      <c r="B64" s="5"/>
      <c r="D64" t="s">
        <v>145</v>
      </c>
    </row>
    <row r="65" spans="1:4" x14ac:dyDescent="0.25">
      <c r="A65">
        <v>50910</v>
      </c>
      <c r="B65" s="5"/>
      <c r="D65" t="s">
        <v>134</v>
      </c>
    </row>
    <row r="66" spans="1:4" x14ac:dyDescent="0.25">
      <c r="A66">
        <v>50944</v>
      </c>
      <c r="B66" s="5"/>
      <c r="D66" t="s">
        <v>149</v>
      </c>
    </row>
    <row r="67" spans="1:4" x14ac:dyDescent="0.25">
      <c r="A67">
        <v>50974</v>
      </c>
      <c r="B67" s="5"/>
      <c r="D67" t="s">
        <v>150</v>
      </c>
    </row>
    <row r="68" spans="1:4" x14ac:dyDescent="0.25">
      <c r="A68">
        <v>50926</v>
      </c>
      <c r="B68" s="5"/>
      <c r="D68" t="s">
        <v>140</v>
      </c>
    </row>
    <row r="69" spans="1:4" x14ac:dyDescent="0.25">
      <c r="A69">
        <v>50920</v>
      </c>
      <c r="B69" s="5"/>
      <c r="D69" t="s">
        <v>137</v>
      </c>
    </row>
    <row r="70" spans="1:4" x14ac:dyDescent="0.25">
      <c r="A70">
        <v>50982</v>
      </c>
      <c r="B70" s="5"/>
      <c r="D70" t="s">
        <v>154</v>
      </c>
    </row>
    <row r="71" spans="1:4" x14ac:dyDescent="0.25">
      <c r="A71">
        <v>50991</v>
      </c>
      <c r="B71" s="5"/>
      <c r="D71" t="s">
        <v>159</v>
      </c>
    </row>
    <row r="72" spans="1:4" x14ac:dyDescent="0.25">
      <c r="A72">
        <v>50935</v>
      </c>
      <c r="B72" s="5"/>
      <c r="D72" t="s">
        <v>147</v>
      </c>
    </row>
    <row r="73" spans="1:4" x14ac:dyDescent="0.25">
      <c r="A73">
        <v>50931</v>
      </c>
      <c r="B73" s="5"/>
      <c r="D73" t="s">
        <v>144</v>
      </c>
    </row>
    <row r="74" spans="1:4" x14ac:dyDescent="0.25">
      <c r="A74">
        <v>50912</v>
      </c>
      <c r="B74" s="5"/>
      <c r="D74" t="s">
        <v>135</v>
      </c>
    </row>
    <row r="75" spans="1:4" x14ac:dyDescent="0.25">
      <c r="A75">
        <v>50919</v>
      </c>
      <c r="B75" s="5"/>
      <c r="D75" t="s">
        <v>136</v>
      </c>
    </row>
    <row r="76" spans="1:4" x14ac:dyDescent="0.25">
      <c r="A76">
        <v>50987</v>
      </c>
      <c r="B76" s="5"/>
      <c r="D76" t="s">
        <v>157</v>
      </c>
    </row>
    <row r="77" spans="1:4" x14ac:dyDescent="0.25">
      <c r="A77">
        <v>50989</v>
      </c>
      <c r="B77" s="5"/>
      <c r="D77" t="s">
        <v>158</v>
      </c>
    </row>
    <row r="78" spans="1:4" x14ac:dyDescent="0.25">
      <c r="A78">
        <v>50981</v>
      </c>
      <c r="B78" s="5"/>
      <c r="D78" t="s">
        <v>153</v>
      </c>
    </row>
    <row r="79" spans="1:4" x14ac:dyDescent="0.25">
      <c r="A79" s="5">
        <v>50288</v>
      </c>
      <c r="B79" s="5"/>
      <c r="D79" t="s">
        <v>195</v>
      </c>
    </row>
    <row r="80" spans="1:4" x14ac:dyDescent="0.25">
      <c r="A80" s="5">
        <v>54767</v>
      </c>
      <c r="B80" s="5"/>
      <c r="D80" t="s">
        <v>190</v>
      </c>
    </row>
    <row r="81" spans="1:4" x14ac:dyDescent="0.25">
      <c r="A81" s="5">
        <v>50889</v>
      </c>
      <c r="B81" s="5"/>
      <c r="D81" t="s">
        <v>177</v>
      </c>
    </row>
    <row r="82" spans="1:4" x14ac:dyDescent="0.25">
      <c r="A82" s="5">
        <v>50890</v>
      </c>
      <c r="B82" s="5"/>
      <c r="D82" t="s">
        <v>185</v>
      </c>
    </row>
    <row r="83" spans="1:4" x14ac:dyDescent="0.25">
      <c r="A83" s="6" t="s">
        <v>164</v>
      </c>
      <c r="B83" s="5"/>
      <c r="D83" t="s">
        <v>165</v>
      </c>
    </row>
    <row r="84" spans="1:4" x14ac:dyDescent="0.25">
      <c r="A84" s="5">
        <v>50329</v>
      </c>
      <c r="B84" s="5"/>
      <c r="D84" t="s">
        <v>200</v>
      </c>
    </row>
    <row r="85" spans="1:4" x14ac:dyDescent="0.25">
      <c r="A85" s="5">
        <v>50352</v>
      </c>
      <c r="B85" s="5"/>
      <c r="D85" t="s">
        <v>170</v>
      </c>
    </row>
    <row r="86" spans="1:4" x14ac:dyDescent="0.25">
      <c r="A86" s="5">
        <v>50354</v>
      </c>
      <c r="B86" s="5"/>
      <c r="D86" t="s">
        <v>180</v>
      </c>
    </row>
    <row r="87" spans="1:4" x14ac:dyDescent="0.25">
      <c r="A87" s="4" t="s">
        <v>82</v>
      </c>
      <c r="B87" s="5"/>
      <c r="D87" t="s">
        <v>83</v>
      </c>
    </row>
    <row r="88" spans="1:4" x14ac:dyDescent="0.25">
      <c r="A88" s="4" t="s">
        <v>84</v>
      </c>
      <c r="B88" s="5"/>
      <c r="C88" t="s">
        <v>85</v>
      </c>
      <c r="D88" t="s">
        <v>86</v>
      </c>
    </row>
    <row r="89" spans="1:4" x14ac:dyDescent="0.25">
      <c r="A89" s="4" t="s">
        <v>87</v>
      </c>
      <c r="B89" s="5"/>
      <c r="C89" t="s">
        <v>88</v>
      </c>
      <c r="D89" t="s">
        <v>89</v>
      </c>
    </row>
    <row r="90" spans="1:4" x14ac:dyDescent="0.25">
      <c r="A90" s="4" t="s">
        <v>90</v>
      </c>
      <c r="B90" s="5"/>
      <c r="C90" t="s">
        <v>91</v>
      </c>
      <c r="D90" t="s">
        <v>92</v>
      </c>
    </row>
    <row r="91" spans="1:4" x14ac:dyDescent="0.25">
      <c r="A91" s="4" t="s">
        <v>93</v>
      </c>
      <c r="B91" s="5"/>
      <c r="C91" t="s">
        <v>94</v>
      </c>
      <c r="D91" t="s">
        <v>95</v>
      </c>
    </row>
    <row r="92" spans="1:4" x14ac:dyDescent="0.25">
      <c r="A92" s="4" t="s">
        <v>96</v>
      </c>
      <c r="B92" s="5"/>
      <c r="C92" t="s">
        <v>97</v>
      </c>
      <c r="D92" t="s">
        <v>98</v>
      </c>
    </row>
    <row r="93" spans="1:4" x14ac:dyDescent="0.25">
      <c r="A93" s="4" t="s">
        <v>207</v>
      </c>
      <c r="B93" s="5"/>
      <c r="C93" t="s">
        <v>204</v>
      </c>
      <c r="D93" t="s">
        <v>212</v>
      </c>
    </row>
    <row r="94" spans="1:4" x14ac:dyDescent="0.25">
      <c r="A94" s="4" t="s">
        <v>208</v>
      </c>
      <c r="B94" s="5"/>
      <c r="C94" t="s">
        <v>205</v>
      </c>
      <c r="D94" t="s">
        <v>213</v>
      </c>
    </row>
    <row r="95" spans="1:4" x14ac:dyDescent="0.25">
      <c r="A95" s="4" t="s">
        <v>209</v>
      </c>
      <c r="B95" s="5"/>
      <c r="C95" t="s">
        <v>206</v>
      </c>
      <c r="D95" t="s">
        <v>214</v>
      </c>
    </row>
    <row r="96" spans="1:4" x14ac:dyDescent="0.25">
      <c r="A96" s="4" t="s">
        <v>211</v>
      </c>
      <c r="B96" s="5"/>
      <c r="C96" t="s">
        <v>210</v>
      </c>
      <c r="D96" t="s">
        <v>215</v>
      </c>
    </row>
    <row r="97" spans="1:5" x14ac:dyDescent="0.25">
      <c r="A97" s="4" t="s">
        <v>99</v>
      </c>
      <c r="B97" s="5"/>
      <c r="D97" t="s">
        <v>100</v>
      </c>
    </row>
    <row r="98" spans="1:5" x14ac:dyDescent="0.25">
      <c r="A98">
        <v>10653</v>
      </c>
      <c r="C98" t="s">
        <v>251</v>
      </c>
      <c r="D98" t="s">
        <v>252</v>
      </c>
    </row>
    <row r="99" spans="1:5" x14ac:dyDescent="0.25">
      <c r="A99" s="4" t="s">
        <v>380</v>
      </c>
      <c r="D99" t="s">
        <v>382</v>
      </c>
      <c r="E99" s="43"/>
    </row>
    <row r="100" spans="1:5" x14ac:dyDescent="0.25">
      <c r="A100" s="4" t="s">
        <v>381</v>
      </c>
      <c r="D100" t="s">
        <v>383</v>
      </c>
      <c r="E100" s="44"/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Line="0" autoPict="0" macro="[0]!Ecran_313">
                <anchor moveWithCells="1" sizeWithCells="1">
                  <from>
                    <xdr:col>4</xdr:col>
                    <xdr:colOff>180975</xdr:colOff>
                    <xdr:row>1</xdr:row>
                    <xdr:rowOff>47625</xdr:rowOff>
                  </from>
                  <to>
                    <xdr:col>4</xdr:col>
                    <xdr:colOff>552450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AA71"/>
  <sheetViews>
    <sheetView tabSelected="1" zoomScale="70" zoomScaleNormal="70" workbookViewId="0"/>
  </sheetViews>
  <sheetFormatPr baseColWidth="10" defaultRowHeight="15" x14ac:dyDescent="0.25"/>
  <cols>
    <col min="1" max="1" width="27.140625" style="12" bestFit="1" customWidth="1"/>
    <col min="2" max="2" width="12.42578125" style="12" customWidth="1"/>
    <col min="3" max="3" width="13" style="12" customWidth="1"/>
    <col min="4" max="4" width="14.42578125" style="13" bestFit="1" customWidth="1"/>
    <col min="5" max="5" width="13.42578125" style="12" bestFit="1" customWidth="1"/>
    <col min="6" max="6" width="10.140625" style="12" customWidth="1"/>
    <col min="7" max="7" width="13" style="12" bestFit="1" customWidth="1"/>
    <col min="8" max="8" width="11.5703125" style="13" customWidth="1"/>
    <col min="9" max="9" width="7.42578125" style="12" bestFit="1" customWidth="1"/>
    <col min="10" max="10" width="11.42578125" style="15" bestFit="1" customWidth="1"/>
    <col min="11" max="11" width="7.42578125" style="12" bestFit="1" customWidth="1"/>
    <col min="12" max="12" width="8.85546875" style="15" bestFit="1" customWidth="1"/>
    <col min="13" max="13" width="9.5703125" style="12" bestFit="1" customWidth="1"/>
    <col min="14" max="14" width="10.42578125" style="12" customWidth="1"/>
    <col min="15" max="15" width="9.7109375" style="12" customWidth="1"/>
    <col min="16" max="16" width="10.28515625" style="12" customWidth="1"/>
    <col min="17" max="17" width="11.140625" style="12" bestFit="1" customWidth="1"/>
    <col min="18" max="18" width="12.140625" style="12" customWidth="1"/>
    <col min="19" max="20" width="23.42578125" style="12" hidden="1" customWidth="1"/>
    <col min="21" max="21" width="24.85546875" style="12" bestFit="1" customWidth="1"/>
    <col min="22" max="16384" width="11.42578125" style="12"/>
  </cols>
  <sheetData>
    <row r="1" spans="1:27" ht="69" customHeight="1" x14ac:dyDescent="0.35">
      <c r="A1" s="26" t="s">
        <v>397</v>
      </c>
      <c r="B1" s="29" t="s">
        <v>389</v>
      </c>
      <c r="C1" s="29" t="s">
        <v>260</v>
      </c>
      <c r="D1" s="30" t="s">
        <v>305</v>
      </c>
      <c r="E1" s="29" t="s">
        <v>306</v>
      </c>
      <c r="F1" s="29" t="s">
        <v>309</v>
      </c>
      <c r="G1" s="29" t="s">
        <v>304</v>
      </c>
      <c r="H1" s="28" t="s">
        <v>264</v>
      </c>
      <c r="I1" s="27" t="s">
        <v>255</v>
      </c>
      <c r="J1" s="49" t="s">
        <v>265</v>
      </c>
      <c r="K1" s="27" t="s">
        <v>256</v>
      </c>
      <c r="L1" s="49" t="s">
        <v>266</v>
      </c>
      <c r="M1" s="27" t="s">
        <v>257</v>
      </c>
      <c r="N1" s="29" t="s">
        <v>307</v>
      </c>
      <c r="O1" s="29" t="s">
        <v>308</v>
      </c>
      <c r="P1" s="27" t="s">
        <v>267</v>
      </c>
      <c r="Q1" s="27" t="s">
        <v>268</v>
      </c>
      <c r="R1" s="27" t="s">
        <v>269</v>
      </c>
      <c r="S1" s="12" t="s">
        <v>8</v>
      </c>
      <c r="T1" s="12" t="s">
        <v>13</v>
      </c>
      <c r="V1" s="11"/>
      <c r="W1" s="11"/>
      <c r="X1" s="11"/>
      <c r="Y1" s="11"/>
      <c r="Z1" s="11"/>
      <c r="AA1" s="11"/>
    </row>
    <row r="2" spans="1:27" ht="17.25" customHeight="1" x14ac:dyDescent="0.25">
      <c r="A2" s="23" t="s">
        <v>65</v>
      </c>
      <c r="B2" s="18">
        <f>+Resultats!$AG$2+Resultats!$AQ$2+Resultats!$AR$2+Resultats!$AS$2+Resultats!$AT$2+Resultats!$AG$3+Resultats!$AQ$3+Resultats!$AR$3+Resultats!$AS$3+Resultats!$AT$3</f>
        <v>95822</v>
      </c>
      <c r="C2" s="18">
        <f>E2/CALCUL_DATE!$B$1*CALCUL_DATE!$B$2</f>
        <v>53988.076923076922</v>
      </c>
      <c r="D2" s="19">
        <f>B2/C2-1</f>
        <v>0.77487336947616647</v>
      </c>
      <c r="E2" s="18">
        <f>+Resultats_N1!$AG$2+Resultats_N1!$AQ$2+Resultats_N1!$AR$2+Resultats_N1!$AS$2+Resultats_N1!$AT$2+Resultats_N1!$AG$3+Resultats_N1!$AQ$3+Resultats_N1!$AR$3+Resultats_N1!$AS$3+Resultats_N1!$AT$3</f>
        <v>61030</v>
      </c>
      <c r="F2" s="18">
        <f>Resultats!$T$2+Resultats!$T$3</f>
        <v>1591</v>
      </c>
      <c r="G2" s="19">
        <f>F2/B2</f>
        <v>1.6603702698753938E-2</v>
      </c>
      <c r="H2" s="20">
        <f>(Resultats!$J$2+Resultats!$J$3)/(Resultats!$N$2+Resultats!$N$3)</f>
        <v>0.67295449186512613</v>
      </c>
      <c r="I2" s="17">
        <f>Resultats!$AP$2+Resultats!$AP$3</f>
        <v>285</v>
      </c>
      <c r="J2" s="21">
        <f>(Resultats_N1!$AP$2+Resultats_N1!$AP$3)/CALCUL_DATE!$B$1*CALCUL_DATE!$B$2</f>
        <v>196.38461538461539</v>
      </c>
      <c r="K2" s="17">
        <f>Resultats!$AD$2+Resultats!$AD$3</f>
        <v>313</v>
      </c>
      <c r="L2" s="21">
        <f>(Resultats_N1!$AD$2+Resultats_N1!$AD$3)/CALCUL_DATE!$B$1*CALCUL_DATE!$B$2</f>
        <v>214.07692307692309</v>
      </c>
      <c r="M2" s="22">
        <f>P2/K2</f>
        <v>9.1948881789137378</v>
      </c>
      <c r="N2" s="22">
        <f>B2/K2</f>
        <v>306.14057507987218</v>
      </c>
      <c r="O2" s="22">
        <f>B2/P2</f>
        <v>33.294649061848503</v>
      </c>
      <c r="P2" s="18">
        <f>+Resultats!$AJ$2+Resultats!$AJ$3</f>
        <v>2878</v>
      </c>
      <c r="Q2" s="18">
        <f>+(Resultats_N1!$AJ$2+Resultats_N1!$AJ$3)/CALCUL_DATE!$B$1*CALCUL_DATE!$B$2</f>
        <v>1746.2307692307691</v>
      </c>
      <c r="R2" s="19">
        <f>P2/Q2-1</f>
        <v>0.64812122813972972</v>
      </c>
      <c r="S2" s="10">
        <f>+Resultats!$J$2+Resultats!$J$3</f>
        <v>2854</v>
      </c>
      <c r="T2" s="10">
        <f>+Resultats!$N$2+Resultats!$N$3</f>
        <v>4241</v>
      </c>
      <c r="U2" s="13"/>
      <c r="V2" s="48"/>
    </row>
    <row r="3" spans="1:27" ht="17.25" customHeight="1" x14ac:dyDescent="0.25">
      <c r="A3" s="23" t="s">
        <v>112</v>
      </c>
      <c r="B3" s="18">
        <f>+Resultats!$AG$4+Resultats!$AQ$4+Resultats!$AR$4+Resultats!$AS$4+Resultats!$AT$4</f>
        <v>4490</v>
      </c>
      <c r="C3" s="18">
        <f>E3/CALCUL_DATE!$B$1*CALCUL_DATE!$B$2</f>
        <v>4097.5384615384619</v>
      </c>
      <c r="D3" s="19">
        <f>B3/C3-1</f>
        <v>9.5779830292107793E-2</v>
      </c>
      <c r="E3" s="18">
        <f>+Resultats_N1!$AG$4+Resultats_N1!$AQ$4+Resultats_N1!$AR$4+Resultats_N1!$AS$4+Resultats_N1!$AT$4</f>
        <v>4632</v>
      </c>
      <c r="F3" s="18">
        <f>Resultats!$T$4</f>
        <v>65</v>
      </c>
      <c r="G3" s="19">
        <f>F3/B3</f>
        <v>1.4476614699331848E-2</v>
      </c>
      <c r="H3" s="20">
        <f>(Resultats!$J$4)/(Resultats!$N$4)</f>
        <v>0.26405867970660146</v>
      </c>
      <c r="I3" s="17">
        <f>Resultats!$AP4</f>
        <v>22</v>
      </c>
      <c r="J3" s="21">
        <f>Resultats_N1!$AP4/CALCUL_DATE!$B$1*CALCUL_DATE!$B$2</f>
        <v>18.576923076923077</v>
      </c>
      <c r="K3" s="17">
        <f>Resultats!$AD4</f>
        <v>25</v>
      </c>
      <c r="L3" s="21">
        <f>Resultats_N1!$AD4/CALCUL_DATE!$B$1*CALCUL_DATE!$B$2</f>
        <v>19.46153846153846</v>
      </c>
      <c r="M3" s="22">
        <f>P3/K3</f>
        <v>4.3600000000000003</v>
      </c>
      <c r="N3" s="22">
        <f>B3/K3</f>
        <v>179.6</v>
      </c>
      <c r="O3" s="22">
        <f>B3/P3</f>
        <v>41.192660550458719</v>
      </c>
      <c r="P3" s="18">
        <f>+Resultats!$AJ4</f>
        <v>109</v>
      </c>
      <c r="Q3" s="18">
        <f>+Resultats_N1!$AJ4/CALCUL_DATE!$B$1*CALCUL_DATE!$B$2</f>
        <v>142.42307692307693</v>
      </c>
      <c r="R3" s="19">
        <f>P3/Q3-1</f>
        <v>-0.23467458817175268</v>
      </c>
      <c r="S3" s="10">
        <f>Resultats!$J4</f>
        <v>108</v>
      </c>
      <c r="T3" s="10">
        <f>Resultats!$N4</f>
        <v>409</v>
      </c>
    </row>
    <row r="4" spans="1:27" ht="17.25" customHeight="1" x14ac:dyDescent="0.25">
      <c r="A4" s="23" t="s">
        <v>106</v>
      </c>
      <c r="B4" s="18">
        <f>+Resultats!$AG$5+Resultats!$AQ$5+Resultats!$AR$5+Resultats!$AS$5+Resultats!$AT$5</f>
        <v>7685</v>
      </c>
      <c r="C4" s="18">
        <f>E4/CALCUL_DATE!$B$1*CALCUL_DATE!$B$2</f>
        <v>5330.6923076923076</v>
      </c>
      <c r="D4" s="19">
        <f>B4/C4-1</f>
        <v>0.44165139468101988</v>
      </c>
      <c r="E4" s="18">
        <f>+Resultats_N1!$AG$5+Resultats_N1!$AQ$5+Resultats_N1!$AR$5+Resultats_N1!$AS$5+Resultats_N1!$AT$5</f>
        <v>6026</v>
      </c>
      <c r="F4" s="18">
        <f>Resultats!$T$5</f>
        <v>62</v>
      </c>
      <c r="G4" s="19">
        <f>F4/B4</f>
        <v>8.0676642810670138E-3</v>
      </c>
      <c r="H4" s="20">
        <f>(Resultats!$J$5)/(Resultats!$N$5)</f>
        <v>0.55451713395638624</v>
      </c>
      <c r="I4" s="18">
        <f>Resultats!$AP$5</f>
        <v>16</v>
      </c>
      <c r="J4" s="21">
        <f>Resultats_N1!$AP$5/CALCUL_DATE!$B$1*CALCUL_DATE!$B$2</f>
        <v>26.538461538461537</v>
      </c>
      <c r="K4" s="18">
        <f>Resultats!$AD$5</f>
        <v>17</v>
      </c>
      <c r="L4" s="21">
        <f>Resultats_N1!$AD$5/CALCUL_DATE!$B$1*CALCUL_DATE!$B$2</f>
        <v>24.769230769230766</v>
      </c>
      <c r="M4" s="22">
        <f>P4/K4</f>
        <v>10.529411764705882</v>
      </c>
      <c r="N4" s="22">
        <f>B4/K4</f>
        <v>452.05882352941177</v>
      </c>
      <c r="O4" s="22">
        <f>B4/P4</f>
        <v>42.932960893854748</v>
      </c>
      <c r="P4" s="18">
        <f>+Resultats!$AJ$5</f>
        <v>179</v>
      </c>
      <c r="Q4" s="18">
        <f>+Resultats_N1!$AJ$5/CALCUL_DATE!$B$1*CALCUL_DATE!$B$2</f>
        <v>159.23076923076923</v>
      </c>
      <c r="R4" s="19">
        <f>P4/Q4-1</f>
        <v>0.12415458937198065</v>
      </c>
      <c r="S4" s="10">
        <f>+Resultats!$J4+Resultats!$J$5</f>
        <v>286</v>
      </c>
      <c r="T4" s="10">
        <f>+Resultats!$N4+Resultats!$N$5</f>
        <v>730</v>
      </c>
    </row>
    <row r="5" spans="1:27" ht="17.25" customHeight="1" x14ac:dyDescent="0.25">
      <c r="A5" s="17" t="s">
        <v>299</v>
      </c>
      <c r="B5" s="18">
        <f>SUM(B2:B4)</f>
        <v>107997</v>
      </c>
      <c r="C5" s="18">
        <f>SUM(C2:C4)</f>
        <v>63416.307692307688</v>
      </c>
      <c r="D5" s="19">
        <f>B5/C5-1</f>
        <v>0.70298467271218779</v>
      </c>
      <c r="E5" s="18">
        <f>SUM(E2:E4)</f>
        <v>71688</v>
      </c>
      <c r="F5" s="18">
        <f>SUM(F2:F4)</f>
        <v>1718</v>
      </c>
      <c r="G5" s="19">
        <f>F5/B5</f>
        <v>1.5907849292109966E-2</v>
      </c>
      <c r="H5" s="19">
        <f>SUM(Resultats!$J$2:$J$5)/SUM(Resultats!$N$2:$N$5)</f>
        <v>0.63166364916515794</v>
      </c>
      <c r="I5" s="18">
        <f>SUM(I2:I4)</f>
        <v>323</v>
      </c>
      <c r="J5" s="21">
        <f>SUM(J2:J4)</f>
        <v>241.5</v>
      </c>
      <c r="K5" s="18">
        <f>SUM(K2:K4)</f>
        <v>355</v>
      </c>
      <c r="L5" s="21">
        <f>SUM(L2:L4)</f>
        <v>258.30769230769232</v>
      </c>
      <c r="M5" s="22">
        <f>P5/K5</f>
        <v>8.9183098591549292</v>
      </c>
      <c r="N5" s="22">
        <f>B5/K5</f>
        <v>304.21690140845072</v>
      </c>
      <c r="O5" s="22">
        <f>B5/P5</f>
        <v>34.11149715729627</v>
      </c>
      <c r="P5" s="18">
        <f>SUM(P2:P4)</f>
        <v>3166</v>
      </c>
      <c r="Q5" s="18">
        <f>SUM(Q2:Q4)</f>
        <v>2047.8846153846152</v>
      </c>
      <c r="R5" s="19">
        <f>P5/Q5-1</f>
        <v>0.54598553854822063</v>
      </c>
      <c r="S5" s="10">
        <f>SUM(S2:S4)</f>
        <v>3248</v>
      </c>
      <c r="T5" s="10">
        <f>SUM(T2:T4)</f>
        <v>5380</v>
      </c>
    </row>
    <row r="7" spans="1:27" ht="17.25" customHeight="1" x14ac:dyDescent="0.25">
      <c r="A7" s="23" t="s">
        <v>69</v>
      </c>
      <c r="B7" s="18">
        <f>+Resultats!$AG$10+Resultats!$AQ$10+Resultats!$AR$10+Resultats!$AS$10+Resultats!$AT$10+Resultats!$AG$9+Resultats!$AQ$9+Resultats!$AR$9+Resultats!$AS$9+Resultats!$AT$9</f>
        <v>52384</v>
      </c>
      <c r="C7" s="18">
        <f>E7/CALCUL_DATE!$B$1*CALCUL_DATE!$B$2</f>
        <v>40890.461538461539</v>
      </c>
      <c r="D7" s="19">
        <f>B7/C7-1</f>
        <v>0.28108116243020742</v>
      </c>
      <c r="E7" s="18">
        <f>+Resultats_N1!$AG$10+Resultats_N1!$AQ$10+Resultats_N1!$AR$10+Resultats_N1!$AS$10+Resultats_N1!$AT$10+Resultats_N1!$AG$9+Resultats_N1!$AQ$9+Resultats_N1!$AR$9+Resultats_N1!$AS$9+Resultats_N1!$AT$9</f>
        <v>46224</v>
      </c>
      <c r="F7" s="18">
        <f>Resultats!$T$10+Resultats!$T$9</f>
        <v>762</v>
      </c>
      <c r="G7" s="19">
        <f>F7/B7</f>
        <v>1.4546426389737325E-2</v>
      </c>
      <c r="H7" s="20">
        <f>(Resultats!$J$10+Resultats!$J$9)/(Resultats!$N$10+Resultats!$N$9)</f>
        <v>0.62754439151147678</v>
      </c>
      <c r="I7" s="17">
        <f>Resultats!$AP$10+Resultats!$AP$9</f>
        <v>159</v>
      </c>
      <c r="J7" s="21">
        <f>(Resultats_N1!$AP$10+Resultats_N1!$AP$9)/CALCUL_DATE!$B$1*CALCUL_DATE!$B$2</f>
        <v>143.30769230769232</v>
      </c>
      <c r="K7" s="17">
        <f>Resultats!$AD$10+Resultats!$AD$9</f>
        <v>157</v>
      </c>
      <c r="L7" s="21">
        <f>(Resultats_N1!$AD$10+Resultats_N1!$AD$9)/CALCUL_DATE!$B$1*CALCUL_DATE!$B$2</f>
        <v>133.57692307692307</v>
      </c>
      <c r="M7" s="22">
        <f>P7/K7</f>
        <v>9.4140127388535024</v>
      </c>
      <c r="N7" s="22">
        <f>B7/K7</f>
        <v>333.656050955414</v>
      </c>
      <c r="O7" s="22">
        <f>B7/P7</f>
        <v>35.442489851150206</v>
      </c>
      <c r="P7" s="18">
        <f>+Resultats!$AJ$10+Resultats!$AJ$9</f>
        <v>1478</v>
      </c>
      <c r="Q7" s="18">
        <f>+(Resultats_N1!$AJ$10+Resultats_N1!$AJ$9)/CALCUL_DATE!$B$1*CALCUL_DATE!$B$2</f>
        <v>1149.1153846153845</v>
      </c>
      <c r="R7" s="19">
        <f>P7/Q7-1</f>
        <v>0.28620678113599096</v>
      </c>
      <c r="S7" s="10">
        <f>+Resultats!$J$10+Resultats!$J$9</f>
        <v>1449</v>
      </c>
      <c r="T7" s="10">
        <f>+Resultats!$N$10+Resultats!$N$9</f>
        <v>2309</v>
      </c>
    </row>
    <row r="8" spans="1:27" ht="17.25" customHeight="1" x14ac:dyDescent="0.25">
      <c r="A8" s="23" t="s">
        <v>73</v>
      </c>
      <c r="B8" s="18">
        <f>+Resultats!$AG11+Resultats!$AQ11+Resultats!$AR11+Resultats!$AS11+Resultats!$AT11</f>
        <v>68061</v>
      </c>
      <c r="C8" s="18">
        <f>E8/CALCUL_DATE!$B$1*CALCUL_DATE!$B$2</f>
        <v>51704.88461538461</v>
      </c>
      <c r="D8" s="19">
        <f>B8/C8-1</f>
        <v>0.31633598075468261</v>
      </c>
      <c r="E8" s="18">
        <f>+Resultats_N1!$AG11+Resultats_N1!$AQ11+Resultats_N1!$AR11+Resultats_N1!$AS11+Resultats_N1!$AT11</f>
        <v>58449</v>
      </c>
      <c r="F8" s="18">
        <f>Resultats!$T11</f>
        <v>144</v>
      </c>
      <c r="G8" s="19">
        <f>F8/B8</f>
        <v>2.1157491074183452E-3</v>
      </c>
      <c r="H8" s="20">
        <f>(Resultats!$J$11)/(Resultats!$N$11)</f>
        <v>0.70061099796334014</v>
      </c>
      <c r="I8" s="17">
        <f>Resultats!$AP11</f>
        <v>178</v>
      </c>
      <c r="J8" s="21">
        <f>Resultats_N1!$AP11/CALCUL_DATE!$B$1*CALCUL_DATE!$B$2</f>
        <v>170.73076923076923</v>
      </c>
      <c r="K8" s="17">
        <f>Resultats!$AD11</f>
        <v>187</v>
      </c>
      <c r="L8" s="21">
        <f>Resultats_N1!$AD11/CALCUL_DATE!$B$1*CALCUL_DATE!$B$2</f>
        <v>161.88461538461539</v>
      </c>
      <c r="M8" s="22">
        <f>P8/K8</f>
        <v>11.058823529411764</v>
      </c>
      <c r="N8" s="22">
        <f>B8/K8</f>
        <v>363.96256684491976</v>
      </c>
      <c r="O8" s="22">
        <f>B8/P8</f>
        <v>32.911508704061895</v>
      </c>
      <c r="P8" s="18">
        <f>+Resultats!$AJ11</f>
        <v>2068</v>
      </c>
      <c r="Q8" s="18">
        <f>+Resultats_N1!$AJ11/CALCUL_DATE!$B$1*CALCUL_DATE!$B$2</f>
        <v>1626.8076923076922</v>
      </c>
      <c r="R8" s="19">
        <f>P8/Q8-1</f>
        <v>0.27120126722935445</v>
      </c>
      <c r="S8" s="10">
        <f>+Resultats!$J11</f>
        <v>2064</v>
      </c>
      <c r="T8" s="10">
        <f>+Resultats!$N11</f>
        <v>2946</v>
      </c>
    </row>
    <row r="10" spans="1:27" ht="17.25" customHeight="1" x14ac:dyDescent="0.25">
      <c r="A10" s="41" t="s">
        <v>203</v>
      </c>
      <c r="B10" s="18">
        <f>+B5+B7+B8</f>
        <v>228442</v>
      </c>
      <c r="C10" s="18">
        <f>+C5+C7+C8</f>
        <v>156011.65384615381</v>
      </c>
      <c r="D10" s="19">
        <f>B10/C10-1</f>
        <v>0.46426240840489519</v>
      </c>
      <c r="E10" s="18">
        <f>+E5+E7+E8</f>
        <v>176361</v>
      </c>
      <c r="F10" s="18">
        <f>+F5+F7+F8</f>
        <v>2624</v>
      </c>
      <c r="G10" s="19">
        <f>F10/B10</f>
        <v>1.1486504233021949E-2</v>
      </c>
      <c r="H10" s="19">
        <f>(SUM(Resultats!$J$2:$J$5)+SUM(Resultats!$J$9:$J$11))/(SUM(Resultats!$N$2:N$5)+SUM(Resultats!$N$9:$N$11))</f>
        <v>0.65059651867787993</v>
      </c>
      <c r="I10" s="18">
        <f>+I5+I7+I8</f>
        <v>660</v>
      </c>
      <c r="J10" s="21">
        <f>+J5+J7+J8</f>
        <v>555.53846153846155</v>
      </c>
      <c r="K10" s="18">
        <f>+K5+K7+K8</f>
        <v>699</v>
      </c>
      <c r="L10" s="21">
        <f>+L5+L7+L8</f>
        <v>553.76923076923072</v>
      </c>
      <c r="M10" s="22">
        <f>P10/K10</f>
        <v>9.6022889842632324</v>
      </c>
      <c r="N10" s="22">
        <f>B10/K10</f>
        <v>326.81258941344777</v>
      </c>
      <c r="O10" s="22">
        <f>B10/P10</f>
        <v>34.034862932061976</v>
      </c>
      <c r="P10" s="18">
        <f>+P5+P7+P8</f>
        <v>6712</v>
      </c>
      <c r="Q10" s="18">
        <f>+Q5+Q7+Q8</f>
        <v>4823.8076923076924</v>
      </c>
      <c r="R10" s="19">
        <f>P10/Q10-1</f>
        <v>0.39143192020347795</v>
      </c>
      <c r="S10" s="10">
        <f>+S5+S23+S7+S8</f>
        <v>8554</v>
      </c>
      <c r="T10" s="10">
        <f>+T5+T23+T7+T8</f>
        <v>13195</v>
      </c>
    </row>
    <row r="12" spans="1:27" ht="17.25" customHeight="1" x14ac:dyDescent="0.25">
      <c r="A12" s="23" t="s">
        <v>297</v>
      </c>
      <c r="B12" s="18">
        <f>+Resultats!$AG$12+Resultats!$AQ$12+Resultats!$AR$12+Resultats!$AS$12+Resultats!$AT$12</f>
        <v>220757</v>
      </c>
      <c r="C12" s="18">
        <f>E12/CALCUL_DATE!$B$1*CALCUL_DATE!$B$2</f>
        <v>98577.115384615376</v>
      </c>
      <c r="D12" s="19">
        <f>B12/C12-1</f>
        <v>1.239434569967675</v>
      </c>
      <c r="E12" s="18">
        <f>+Resultats_N1!$AG$12+Resultats_N1!$AQ$12+Resultats_N1!$AR$12+Resultats_N1!$AS$12+Resultats_N1!$AT$12</f>
        <v>111435</v>
      </c>
      <c r="F12" s="18">
        <f>Resultats!$T12</f>
        <v>214</v>
      </c>
      <c r="G12" s="19">
        <f>F12/B12</f>
        <v>9.693916840689084E-4</v>
      </c>
      <c r="H12" s="20">
        <f>(Resultats!$J$12)/(Resultats!$N$12)</f>
        <v>0.65796048148989328</v>
      </c>
      <c r="I12" s="17">
        <f>Resultats!$AP12</f>
        <v>413</v>
      </c>
      <c r="J12" s="21">
        <f>Resultats_N1!$AP12/CALCUL_DATE!$B$1*CALCUL_DATE!$B$2</f>
        <v>264.5</v>
      </c>
      <c r="K12" s="17">
        <f>Resultats!$AD12</f>
        <v>351</v>
      </c>
      <c r="L12" s="21">
        <f>Resultats_N1!$AD12/CALCUL_DATE!$B$1*CALCUL_DATE!$B$2</f>
        <v>205.23076923076923</v>
      </c>
      <c r="M12" s="22">
        <f>P12/K12</f>
        <v>16.518518518518519</v>
      </c>
      <c r="N12" s="22">
        <f>B12/K12</f>
        <v>628.93732193732194</v>
      </c>
      <c r="O12" s="22">
        <f>B12/P12</f>
        <v>38.074680924456707</v>
      </c>
      <c r="P12" s="18">
        <f>+Resultats!$AJ12</f>
        <v>5798</v>
      </c>
      <c r="Q12" s="18">
        <f>+Resultats_N1!$AJ12/CALCUL_DATE!$B$1*CALCUL_DATE!$B$2</f>
        <v>3262.4615384615381</v>
      </c>
      <c r="R12" s="19">
        <f>P12/Q12-1</f>
        <v>0.77718570215976635</v>
      </c>
      <c r="S12" s="10">
        <f>+Resultats!$J12</f>
        <v>5794</v>
      </c>
      <c r="T12" s="10">
        <f>+Resultats!$N12</f>
        <v>8806</v>
      </c>
    </row>
    <row r="13" spans="1:27" ht="17.25" customHeight="1" x14ac:dyDescent="0.25">
      <c r="A13" s="23" t="s">
        <v>63</v>
      </c>
      <c r="B13" s="18">
        <f>+Resultats!$AG$14+Resultats!$AQ$14+Resultats!$AR$14+Resultats!$AS$14+Resultats!$AT$14</f>
        <v>141146</v>
      </c>
      <c r="C13" s="18">
        <f>E13/CALCUL_DATE!$B$1*CALCUL_DATE!$B$2</f>
        <v>113087.46153846155</v>
      </c>
      <c r="D13" s="19">
        <f>B13/C13-1</f>
        <v>0.2481136111804545</v>
      </c>
      <c r="E13" s="18">
        <f>+Resultats_N1!$AG$14+Resultats_N1!$AQ$14+Resultats_N1!$AR$14+Resultats_N1!$AS$14+Resultats_N1!$AT$14</f>
        <v>127838</v>
      </c>
      <c r="F13" s="18">
        <f>Resultats!$T$14</f>
        <v>471</v>
      </c>
      <c r="G13" s="19">
        <f>F13/B13</f>
        <v>3.3369702294078472E-3</v>
      </c>
      <c r="H13" s="20">
        <f>(Resultats!$J$14)/(Resultats!$N$14)</f>
        <v>0.7282277194171467</v>
      </c>
      <c r="I13" s="17">
        <f>Resultats!$AP$14</f>
        <v>336</v>
      </c>
      <c r="J13" s="21">
        <f>Resultats_N1!$AP$14/CALCUL_DATE!$B$1*CALCUL_DATE!$B$2</f>
        <v>352.07692307692309</v>
      </c>
      <c r="K13" s="17">
        <f>Resultats!$AD$14</f>
        <v>322</v>
      </c>
      <c r="L13" s="21">
        <f>Resultats_N1!$AD$14/CALCUL_DATE!$B$1*CALCUL_DATE!$B$2</f>
        <v>294.57692307692309</v>
      </c>
      <c r="M13" s="22">
        <f>P13/K13</f>
        <v>13.440993788819876</v>
      </c>
      <c r="N13" s="22">
        <f>B13/K13</f>
        <v>438.34161490683232</v>
      </c>
      <c r="O13" s="22">
        <f>B13/P13</f>
        <v>32.612292051756008</v>
      </c>
      <c r="P13" s="18">
        <f>+Resultats!$AJ$14</f>
        <v>4328</v>
      </c>
      <c r="Q13" s="18">
        <f>+Resultats_N1!$AJ$14</f>
        <v>3898</v>
      </c>
      <c r="R13" s="19">
        <f>P13/Q13-1</f>
        <v>0.11031298101590559</v>
      </c>
      <c r="S13" s="10">
        <f>+Resultats!$J$14</f>
        <v>4298</v>
      </c>
      <c r="T13" s="10">
        <f>+Resultats!$N$14</f>
        <v>5902</v>
      </c>
    </row>
    <row r="14" spans="1:27" x14ac:dyDescent="0.25">
      <c r="B14" s="10"/>
      <c r="C14" s="10"/>
      <c r="E14" s="10"/>
      <c r="F14" s="10"/>
      <c r="G14" s="13"/>
      <c r="H14" s="14"/>
      <c r="M14" s="16"/>
      <c r="N14" s="16"/>
      <c r="O14" s="16"/>
      <c r="P14" s="10"/>
      <c r="Q14" s="10"/>
      <c r="R14" s="13"/>
      <c r="S14" s="10"/>
      <c r="T14" s="10"/>
    </row>
    <row r="15" spans="1:27" ht="17.25" customHeight="1" x14ac:dyDescent="0.25">
      <c r="A15" s="23" t="s">
        <v>270</v>
      </c>
      <c r="B15" s="18">
        <f>+Resultats!$AG$15+Resultats!$AQ$15+Resultats!$AR$15+Resultats!$AS$15+Resultats!$AT$15</f>
        <v>140808</v>
      </c>
      <c r="C15" s="18">
        <f>E15/CALCUL_DATE!$B$1*CALCUL_DATE!$B$2</f>
        <v>101959</v>
      </c>
      <c r="D15" s="19">
        <f>B15/C15-1</f>
        <v>0.38102570641140066</v>
      </c>
      <c r="E15" s="18">
        <f>+Resultats_N1!$AG$15+Resultats_N1!$AQ$15+Resultats_N1!$AR$15+Resultats_N1!$AS$15+Resultats_N1!$AT$15</f>
        <v>115258</v>
      </c>
      <c r="F15" s="18">
        <f>Resultats!$T$15</f>
        <v>3012</v>
      </c>
      <c r="G15" s="19">
        <f>F15/B15</f>
        <v>2.1390830066473496E-2</v>
      </c>
      <c r="H15" s="20">
        <f>(Resultats!$J$15)/(Resultats!$N$15)</f>
        <v>0.6118333775537278</v>
      </c>
      <c r="I15" s="18">
        <f>Resultats!$AP$15</f>
        <v>783</v>
      </c>
      <c r="J15" s="21">
        <f>Resultats_N1!$AP$15/CALCUL_DATE!$B$1*CALCUL_DATE!$B$2</f>
        <v>616.57692307692309</v>
      </c>
      <c r="K15" s="18">
        <f>Resultats!$AD$15</f>
        <v>764</v>
      </c>
      <c r="L15" s="21">
        <f>Resultats_N1!$AD$15/CALCUL_DATE!$B$1*CALCUL_DATE!$B$2</f>
        <v>607.73076923076928</v>
      </c>
      <c r="M15" s="22">
        <f>P15/K15</f>
        <v>3.0706806282722514</v>
      </c>
      <c r="N15" s="22">
        <f>B15/K15</f>
        <v>184.30366492146598</v>
      </c>
      <c r="O15" s="22">
        <f>B15/P15</f>
        <v>60.020460358056269</v>
      </c>
      <c r="P15" s="18">
        <f>+Resultats!$AJ$15</f>
        <v>2346</v>
      </c>
      <c r="Q15" s="18">
        <f>+Resultats_N1!$AJ$15/CALCUL_DATE!$B$1*CALCUL_DATE!$B$2</f>
        <v>2244.2692307692309</v>
      </c>
      <c r="R15" s="19">
        <f>P15/Q15-1</f>
        <v>4.532912889239249E-2</v>
      </c>
      <c r="S15" s="10">
        <f>+Resultats!$J$15</f>
        <v>2306</v>
      </c>
      <c r="T15" s="10">
        <f>+Resultats!$N$15</f>
        <v>3769</v>
      </c>
    </row>
    <row r="16" spans="1:27" ht="17.25" customHeight="1" x14ac:dyDescent="0.25">
      <c r="A16" s="23" t="s">
        <v>271</v>
      </c>
      <c r="B16" s="18">
        <f>+Resultats!$AG$16+Resultats!$AQ$16+Resultats!$AR$16+Resultats!$AS$16+Resultats!$AT$16</f>
        <v>144003</v>
      </c>
      <c r="C16" s="18">
        <f>E16/CALCUL_DATE!$B$1*CALCUL_DATE!$B$2</f>
        <v>80097.5</v>
      </c>
      <c r="D16" s="19">
        <f>B16/C16-1</f>
        <v>0.79784637473079689</v>
      </c>
      <c r="E16" s="18">
        <f>+Resultats_N1!$AG$16+Resultats_N1!$AQ$16+Resultats_N1!$AR$16+Resultats_N1!$AS$16+Resultats_N1!$AT$16</f>
        <v>90545</v>
      </c>
      <c r="F16" s="18">
        <f>Resultats!$T$16</f>
        <v>141</v>
      </c>
      <c r="G16" s="19">
        <f>F16/B16</f>
        <v>9.7914626778608776E-4</v>
      </c>
      <c r="H16" s="20">
        <f>(Resultats!$J$16)/(Resultats!$N$16)</f>
        <v>0.75337607420542896</v>
      </c>
      <c r="I16" s="17">
        <f>Resultats!$AP$16</f>
        <v>343</v>
      </c>
      <c r="J16" s="21">
        <f>Resultats_N1!$AP$16/CALCUL_DATE!$B$1*CALCUL_DATE!$B$2</f>
        <v>260.07692307692309</v>
      </c>
      <c r="K16" s="17">
        <f>Resultats!$AD$16</f>
        <v>349</v>
      </c>
      <c r="L16" s="21">
        <f>Resultats_N1!$AD$16/CALCUL_DATE!$B$1*CALCUL_DATE!$B$2</f>
        <v>252.11538461538461</v>
      </c>
      <c r="M16" s="22">
        <f>P16/K16</f>
        <v>15.836676217765042</v>
      </c>
      <c r="N16" s="22">
        <f>B16/K16</f>
        <v>412.6160458452722</v>
      </c>
      <c r="O16" s="22">
        <f>B16/P16</f>
        <v>26.054459924009407</v>
      </c>
      <c r="P16" s="18">
        <f>+Resultats!$AJ$16</f>
        <v>5527</v>
      </c>
      <c r="Q16" s="18">
        <f>+Resultats_N1!$AJ$16/CALCUL_DATE!$B$1*CALCUL_DATE!$B$2</f>
        <v>3596.8461538461538</v>
      </c>
      <c r="R16" s="19">
        <f>P16/Q16-1</f>
        <v>0.53662396543980839</v>
      </c>
      <c r="S16" s="10">
        <f>+Resultats!$J$16</f>
        <v>5523</v>
      </c>
      <c r="T16" s="10">
        <f>+Resultats!$N$16</f>
        <v>7331</v>
      </c>
    </row>
    <row r="17" spans="1:20" ht="17.25" customHeight="1" x14ac:dyDescent="0.25">
      <c r="A17" s="17" t="s">
        <v>301</v>
      </c>
      <c r="B17" s="18">
        <f>SUM(B15:B16)</f>
        <v>284811</v>
      </c>
      <c r="C17" s="18">
        <f>SUM(C15:C16)</f>
        <v>182056.5</v>
      </c>
      <c r="D17" s="19">
        <f>B17/C17-1</f>
        <v>0.56440994965848512</v>
      </c>
      <c r="E17" s="18">
        <f>SUM(E15:E16)</f>
        <v>205803</v>
      </c>
      <c r="F17" s="18">
        <f>SUM(F15:F16)</f>
        <v>3153</v>
      </c>
      <c r="G17" s="19">
        <f>F17/B17</f>
        <v>1.1070499383801889E-2</v>
      </c>
      <c r="H17" s="19">
        <f>SUM(Resultats!$J$15:$J$16)/SUM(Resultats!$N$15:$N$16)</f>
        <v>0.70531531531531533</v>
      </c>
      <c r="I17" s="17">
        <f>SUM(I15:I16)</f>
        <v>1126</v>
      </c>
      <c r="J17" s="21">
        <f>SUM(J15:J16)</f>
        <v>876.65384615384619</v>
      </c>
      <c r="K17" s="17">
        <f>SUM(K15:K16)</f>
        <v>1113</v>
      </c>
      <c r="L17" s="21">
        <f>SUM(L15:L16)</f>
        <v>859.84615384615392</v>
      </c>
      <c r="M17" s="22">
        <f>P17/K17</f>
        <v>7.0736747529200361</v>
      </c>
      <c r="N17" s="22">
        <f>B17/K17</f>
        <v>255.89487870619945</v>
      </c>
      <c r="O17" s="22">
        <f>B17/P17</f>
        <v>36.175663660612216</v>
      </c>
      <c r="P17" s="21">
        <f>SUM(P15:P16)</f>
        <v>7873</v>
      </c>
      <c r="Q17" s="21">
        <f>SUM(Q15:Q16)</f>
        <v>5841.1153846153848</v>
      </c>
      <c r="R17" s="19">
        <f>P17/Q17-1</f>
        <v>0.34785901006788733</v>
      </c>
      <c r="S17" s="15">
        <f>SUM(S15:S16)</f>
        <v>7829</v>
      </c>
      <c r="T17" s="15">
        <f>SUM(T15:T16)</f>
        <v>11100</v>
      </c>
    </row>
    <row r="18" spans="1:20" x14ac:dyDescent="0.25">
      <c r="B18" s="10"/>
      <c r="C18" s="10"/>
      <c r="E18" s="10"/>
      <c r="F18" s="10"/>
      <c r="G18" s="13"/>
      <c r="H18" s="14"/>
      <c r="M18" s="16"/>
      <c r="N18" s="16"/>
      <c r="O18" s="16"/>
      <c r="P18" s="10"/>
      <c r="Q18" s="10"/>
      <c r="R18" s="13"/>
      <c r="S18" s="10"/>
      <c r="T18" s="10"/>
    </row>
    <row r="19" spans="1:20" ht="17.25" customHeight="1" x14ac:dyDescent="0.25">
      <c r="A19" s="23" t="s">
        <v>104</v>
      </c>
      <c r="B19" s="18">
        <f>+Resultats!$AG$17+Resultats!$AQ$17+Resultats!$AR$17+Resultats!$AS$17+Resultats!$AT$17</f>
        <v>60020</v>
      </c>
      <c r="C19" s="18">
        <f>E19/CALCUL_DATE!$B$1*CALCUL_DATE!$B$2</f>
        <v>32100.923076923074</v>
      </c>
      <c r="D19" s="19">
        <f>B19/C19-1</f>
        <v>0.86972816501802019</v>
      </c>
      <c r="E19" s="18">
        <f>+Resultats_N1!$AG$17+Resultats_N1!$AQ$17+Resultats_N1!$AR$17+Resultats_N1!$AS$17+Resultats_N1!$AT$17</f>
        <v>36288</v>
      </c>
      <c r="F19" s="18">
        <f>Resultats!$T$17</f>
        <v>1224</v>
      </c>
      <c r="G19" s="19">
        <f>F19/B19</f>
        <v>2.0393202265911362E-2</v>
      </c>
      <c r="H19" s="20">
        <f>(Resultats!$J$17)/(Resultats!$N$17)</f>
        <v>0.65032414910858993</v>
      </c>
      <c r="I19" s="17">
        <f>Resultats!$AP$17</f>
        <v>166</v>
      </c>
      <c r="J19" s="21">
        <f>Resultats_N1!$AP$17/CALCUL_DATE!$B$1*CALCUL_DATE!$B$2</f>
        <v>145.07692307692307</v>
      </c>
      <c r="K19" s="17">
        <f>Resultats!$AD$17</f>
        <v>150</v>
      </c>
      <c r="L19" s="21">
        <f>Resultats_N1!$AD$17/CALCUL_DATE!$B$1*CALCUL_DATE!$B$2</f>
        <v>96.423076923076934</v>
      </c>
      <c r="M19" s="22">
        <f>P19/K19</f>
        <v>10.833333333333334</v>
      </c>
      <c r="N19" s="22">
        <f>B19/K19</f>
        <v>400.13333333333333</v>
      </c>
      <c r="O19" s="22">
        <f>B19/P19</f>
        <v>36.935384615384613</v>
      </c>
      <c r="P19" s="18">
        <f>+Resultats!$AJ$17</f>
        <v>1625</v>
      </c>
      <c r="Q19" s="18">
        <f>+Resultats_N1!$AJ$17/CALCUL_DATE!$B$1*CALCUL_DATE!$B$2</f>
        <v>973.96153846153845</v>
      </c>
      <c r="R19" s="19">
        <f>P19/Q19-1</f>
        <v>0.66844370730166247</v>
      </c>
      <c r="S19" s="10">
        <f>+Resultats!$J$17</f>
        <v>1605</v>
      </c>
      <c r="T19" s="10">
        <f>+Resultats!$N$17</f>
        <v>2468</v>
      </c>
    </row>
    <row r="21" spans="1:20" ht="17.25" customHeight="1" x14ac:dyDescent="0.25">
      <c r="A21" s="23" t="s">
        <v>61</v>
      </c>
      <c r="B21" s="18">
        <f>+Resultats!$AG$6+Resultats!$AQ$6+Resultats!$AR$6+Resultats!$AS$6+Resultats!$AT$6</f>
        <v>49018</v>
      </c>
      <c r="C21" s="18">
        <f>E21/CALCUL_DATE!$B$1*CALCUL_DATE!$B$2</f>
        <v>41070.923076923078</v>
      </c>
      <c r="D21" s="19">
        <f>B21/C21-1</f>
        <v>0.1934964283172449</v>
      </c>
      <c r="E21" s="18">
        <f>+Resultats_N1!$AG$6+Resultats_N1!$AQ$6+Resultats_N1!$AR$6+Resultats_N1!$AS$6+Resultats_N1!$AT$6</f>
        <v>46428</v>
      </c>
      <c r="F21" s="18">
        <f>Resultats!$T$6</f>
        <v>578</v>
      </c>
      <c r="G21" s="19">
        <f>F21/B21</f>
        <v>1.1791586764045861E-2</v>
      </c>
      <c r="H21" s="20">
        <f>(Resultats!$J$6)/(Resultats!$N$6)</f>
        <v>0.70076611086074814</v>
      </c>
      <c r="I21" s="17">
        <f>Resultats!$AP$6</f>
        <v>154</v>
      </c>
      <c r="J21" s="21">
        <f>Resultats_N1!$AP$6/CALCUL_DATE!$B$1*CALCUL_DATE!$B$2</f>
        <v>140.65384615384613</v>
      </c>
      <c r="K21" s="17">
        <f>Resultats!$AD$6</f>
        <v>151</v>
      </c>
      <c r="L21" s="21">
        <f>Resultats_N1!$AD$6/CALCUL_DATE!$B$1*CALCUL_DATE!$B$2</f>
        <v>124.73076923076924</v>
      </c>
      <c r="M21" s="22">
        <f>P21/K21</f>
        <v>10.390728476821192</v>
      </c>
      <c r="N21" s="22">
        <f>B21/K21</f>
        <v>324.62251655629137</v>
      </c>
      <c r="O21" s="22">
        <f>B21/P21</f>
        <v>31.241555130656469</v>
      </c>
      <c r="P21" s="18">
        <f>+Resultats!$AJ$6</f>
        <v>1569</v>
      </c>
      <c r="Q21" s="18">
        <f>+Resultats_N1!$AJ$6/CALCUL_DATE!$B$1*CALCUL_DATE!$B$2</f>
        <v>1288</v>
      </c>
      <c r="R21" s="19">
        <f>P21/Q21-1</f>
        <v>0.2181677018633541</v>
      </c>
      <c r="S21" s="10">
        <f>+Resultats!$J$6</f>
        <v>1555</v>
      </c>
      <c r="T21" s="10">
        <f>+Resultats!$N$6</f>
        <v>2219</v>
      </c>
    </row>
    <row r="22" spans="1:20" ht="17.25" customHeight="1" x14ac:dyDescent="0.25">
      <c r="A22" s="23" t="s">
        <v>108</v>
      </c>
      <c r="B22" s="18">
        <f>+Resultats!$AG$8+Resultats!$AQ$8+Resultats!$AR$8+Resultats!$AS$8+Resultats!$AT$8</f>
        <v>8463</v>
      </c>
      <c r="C22" s="18">
        <f>E22/CALCUL_DATE!$B$1*CALCUL_DATE!$B$2</f>
        <v>5286.4615384615381</v>
      </c>
      <c r="D22" s="19">
        <f>B22/C22-1</f>
        <v>0.60088178802165193</v>
      </c>
      <c r="E22" s="18">
        <f>+Resultats_N1!$AG$8+Resultats_N1!$AQ$8+Resultats_N1!$AR$8+Resultats_N1!$AS$8+Resultats_N1!$AT$8</f>
        <v>5976</v>
      </c>
      <c r="F22" s="18">
        <f>Resultats!$T$8</f>
        <v>62</v>
      </c>
      <c r="G22" s="19">
        <f>F22/B22</f>
        <v>7.326007326007326E-3</v>
      </c>
      <c r="H22" s="20">
        <f>(Resultats!$J$8)/(Resultats!$N$8)</f>
        <v>0.69794721407624638</v>
      </c>
      <c r="I22" s="17">
        <f>Resultats!$AP$8</f>
        <v>30</v>
      </c>
      <c r="J22" s="21">
        <f>Resultats_N1!$AP$8/CALCUL_DATE!$B$1*CALCUL_DATE!$B$2</f>
        <v>20.346153846153847</v>
      </c>
      <c r="K22" s="17">
        <f>Resultats!$AD$8</f>
        <v>40</v>
      </c>
      <c r="L22" s="21">
        <f>Resultats_N1!$AD$8/CALCUL_DATE!$B$1*CALCUL_DATE!$B$2</f>
        <v>21.230769230769234</v>
      </c>
      <c r="M22" s="22">
        <f>P22/K22</f>
        <v>5.9749999999999996</v>
      </c>
      <c r="N22" s="22">
        <f>B22/K22</f>
        <v>211.57499999999999</v>
      </c>
      <c r="O22" s="22">
        <f>B22/P22</f>
        <v>35.410041841004187</v>
      </c>
      <c r="P22" s="18">
        <f>+Resultats!$AJ$8</f>
        <v>239</v>
      </c>
      <c r="Q22" s="18">
        <f>+Resultats_N1!$AJ$8/CALCUL_DATE!$B$1*CALCUL_DATE!$B$2</f>
        <v>168.07692307692307</v>
      </c>
      <c r="R22" s="19">
        <f>P22/Q22-1</f>
        <v>0.42196796338672771</v>
      </c>
      <c r="S22" s="10">
        <f>+Resultats!$J$8</f>
        <v>238</v>
      </c>
      <c r="T22" s="10">
        <f>+Resultats!$N$8</f>
        <v>341</v>
      </c>
    </row>
    <row r="23" spans="1:20" ht="17.25" customHeight="1" x14ac:dyDescent="0.25">
      <c r="A23" s="17" t="s">
        <v>300</v>
      </c>
      <c r="B23" s="18">
        <f>SUM(B21:B22)</f>
        <v>57481</v>
      </c>
      <c r="C23" s="18">
        <f>SUM(C21:C22)</f>
        <v>46357.384615384617</v>
      </c>
      <c r="D23" s="19">
        <f>B23/C23-1</f>
        <v>0.23995347185578253</v>
      </c>
      <c r="E23" s="18">
        <f>SUM(E21:E22)</f>
        <v>52404</v>
      </c>
      <c r="F23" s="18">
        <f>SUM(F21:F22)</f>
        <v>640</v>
      </c>
      <c r="G23" s="19">
        <f>F23/B23</f>
        <v>1.113411388110854E-2</v>
      </c>
      <c r="H23" s="19">
        <f>SUM(Resultats!$J$6:$J$8)/SUM(Resultats!$N$6:$N$8)</f>
        <v>0.70039062500000004</v>
      </c>
      <c r="I23" s="18">
        <f>SUM(I21:I22)</f>
        <v>184</v>
      </c>
      <c r="J23" s="21">
        <f>SUM(J21:J22)</f>
        <v>160.99999999999997</v>
      </c>
      <c r="K23" s="18">
        <f>SUM(K21:K22)</f>
        <v>191</v>
      </c>
      <c r="L23" s="21">
        <f>SUM(L21:L22)</f>
        <v>145.96153846153848</v>
      </c>
      <c r="M23" s="22">
        <f>P23/K23</f>
        <v>9.4659685863874348</v>
      </c>
      <c r="N23" s="22">
        <f>B23/K23</f>
        <v>300.9476439790576</v>
      </c>
      <c r="O23" s="22">
        <f>B23/P23</f>
        <v>31.79258849557522</v>
      </c>
      <c r="P23" s="18">
        <f>SUM(P21:P22)</f>
        <v>1808</v>
      </c>
      <c r="Q23" s="18">
        <f>SUM(Q21:Q22)</f>
        <v>1456.0769230769231</v>
      </c>
      <c r="R23" s="19">
        <f>P23/Q23-1</f>
        <v>0.24169264092133758</v>
      </c>
      <c r="S23" s="10">
        <f>SUM(S21:S22)</f>
        <v>1793</v>
      </c>
      <c r="T23" s="10">
        <f>SUM(T21:T22)</f>
        <v>2560</v>
      </c>
    </row>
    <row r="24" spans="1:20" s="37" customFormat="1" ht="17.25" customHeight="1" x14ac:dyDescent="0.25">
      <c r="B24" s="38"/>
      <c r="C24" s="38"/>
      <c r="D24" s="39"/>
      <c r="E24" s="38"/>
      <c r="F24" s="38"/>
      <c r="G24" s="39"/>
      <c r="H24" s="39"/>
      <c r="I24" s="38"/>
      <c r="J24" s="50"/>
      <c r="K24" s="38"/>
      <c r="L24" s="50"/>
      <c r="M24" s="40"/>
      <c r="N24" s="40"/>
      <c r="O24" s="40"/>
      <c r="P24" s="38"/>
      <c r="Q24" s="38"/>
      <c r="R24" s="39"/>
      <c r="S24" s="38"/>
      <c r="T24" s="38"/>
    </row>
    <row r="25" spans="1:20" ht="17.25" customHeight="1" x14ac:dyDescent="0.25">
      <c r="A25" s="41" t="s">
        <v>202</v>
      </c>
      <c r="B25" s="18">
        <f>SUM(B12:B13)+B17+B19+B23</f>
        <v>764215</v>
      </c>
      <c r="C25" s="18">
        <f>SUM(C12:C13)+C17+C19+C23</f>
        <v>472179.38461538462</v>
      </c>
      <c r="D25" s="19">
        <f>B25/C25-1</f>
        <v>0.61848446776746524</v>
      </c>
      <c r="E25" s="18">
        <f>SUM(E12:E13)+E17+E19+E23</f>
        <v>533768</v>
      </c>
      <c r="F25" s="18">
        <f>SUM(F12:F13)+F17+F19+F23</f>
        <v>5702</v>
      </c>
      <c r="G25" s="19">
        <f>F25/B25</f>
        <v>7.4612510877174621E-3</v>
      </c>
      <c r="H25" s="19">
        <f>(SUM(Resultats!$J$12:$J$17)+SUM(Resultats!$J$6:$J$8)+Resultats!$J$99)/(SUM(Resultats!$N$12:N$17)+SUM(Resultats!$N$6:$N$8)+Resultats!$N$99)</f>
        <v>0.69288051098301917</v>
      </c>
      <c r="I25" s="18">
        <f>SUM(I12:I13)+I17+I19+I23</f>
        <v>2225</v>
      </c>
      <c r="J25" s="21">
        <f>SUM(J12:J13)+J17+J19+J23</f>
        <v>1799.3076923076924</v>
      </c>
      <c r="K25" s="18">
        <f>SUM(K12:K13)+K17+K19+K23</f>
        <v>2127</v>
      </c>
      <c r="L25" s="21">
        <f>SUM(L12:L13)+L17+L19+L23</f>
        <v>1602.0384615384617</v>
      </c>
      <c r="M25" s="22">
        <f>P25/K25</f>
        <v>10.076163610719323</v>
      </c>
      <c r="N25" s="22">
        <f>B25/K25</f>
        <v>359.29243065350261</v>
      </c>
      <c r="O25" s="22">
        <f>B25/P25</f>
        <v>35.657661440836129</v>
      </c>
      <c r="P25" s="18">
        <f>SUM(P12:P13)+P17+P19+P23</f>
        <v>21432</v>
      </c>
      <c r="Q25" s="18">
        <f>SUM(Q12:Q13)+Q17+Q19+Q23</f>
        <v>15431.615384615385</v>
      </c>
      <c r="R25" s="19">
        <f>P25/Q25-1</f>
        <v>0.38883710265139992</v>
      </c>
      <c r="S25" s="38">
        <f>SUM(S12:S13)+S17+S19</f>
        <v>19526</v>
      </c>
      <c r="T25" s="38">
        <f>SUM(T12:T13)+T17+T19</f>
        <v>28276</v>
      </c>
    </row>
    <row r="27" spans="1:20" ht="17.25" customHeight="1" x14ac:dyDescent="0.25">
      <c r="A27" s="23" t="s">
        <v>272</v>
      </c>
      <c r="B27" s="18">
        <f>+Resultats!$AG$18+Resultats!$AQ$18+Resultats!$AR$18+Resultats!$AS$18+Resultats!$AT$18</f>
        <v>131596</v>
      </c>
      <c r="C27" s="18">
        <f>E27/CALCUL_DATE!$B$1*CALCUL_DATE!$B$2</f>
        <v>101564.46153846155</v>
      </c>
      <c r="D27" s="19">
        <f>B27/C27-1</f>
        <v>0.29568943709868223</v>
      </c>
      <c r="E27" s="18">
        <f>+Resultats_N1!$AG$18+Resultats_N1!$AQ$18+Resultats_N1!$AR$18+Resultats_N1!$AS$18+Resultats_N1!$AT$18</f>
        <v>114812</v>
      </c>
      <c r="F27" s="18">
        <f>Resultats!$T$18</f>
        <v>1497</v>
      </c>
      <c r="G27" s="19">
        <f>F27/B27</f>
        <v>1.1375725705948509E-2</v>
      </c>
      <c r="H27" s="20">
        <f>(Resultats!$J$18)/(Resultats!$N$18)</f>
        <v>0.44392771724687752</v>
      </c>
      <c r="I27" s="17">
        <f>Resultats!$AP$18</f>
        <v>560</v>
      </c>
      <c r="J27" s="21">
        <f>Resultats_N1!$AP$18/CALCUL_DATE!$B$1*CALCUL_DATE!$B$2</f>
        <v>459.11538461538458</v>
      </c>
      <c r="K27" s="17">
        <f>Resultats!$AD$18</f>
        <v>530</v>
      </c>
      <c r="L27" s="21">
        <f>Resultats_N1!$AD$18/CALCUL_DATE!$B$1*CALCUL_DATE!$B$2</f>
        <v>398.07692307692304</v>
      </c>
      <c r="M27" s="22">
        <f>P27/K27</f>
        <v>6.3622641509433961</v>
      </c>
      <c r="N27" s="22">
        <f>B27/K27</f>
        <v>248.2943396226415</v>
      </c>
      <c r="O27" s="22">
        <f>B27/P27</f>
        <v>39.026097271648872</v>
      </c>
      <c r="P27" s="18">
        <f>+Resultats!$AJ$18</f>
        <v>3372</v>
      </c>
      <c r="Q27" s="18">
        <f>+Resultats_N1!$AJ$18/CALCUL_DATE!$B$1*CALCUL_DATE!$B$2</f>
        <v>3039.5384615384619</v>
      </c>
      <c r="R27" s="19">
        <f>P27/Q27-1</f>
        <v>0.10937895429468014</v>
      </c>
      <c r="S27" s="10">
        <f>+Resultats!$J$18+Resultats!$J$19</f>
        <v>3579</v>
      </c>
      <c r="T27" s="10">
        <f>+Resultats!$N$18+Resultats!$N$19</f>
        <v>8252</v>
      </c>
    </row>
    <row r="28" spans="1:20" ht="17.25" customHeight="1" x14ac:dyDescent="0.25">
      <c r="A28" s="23" t="s">
        <v>324</v>
      </c>
      <c r="B28" s="18">
        <f>+Resultats!$AG$19+Resultats!$AQ$19+Resultats!$AR$19+Resultats!$AS$19+Resultats!$AT$19</f>
        <v>18347</v>
      </c>
      <c r="C28" s="18">
        <f>E28/CALCUL_DATE!$B$1*CALCUL_DATE!$B$2</f>
        <v>11791.923076923078</v>
      </c>
      <c r="D28" s="19">
        <f>B28/C28-1</f>
        <v>0.55589549561303353</v>
      </c>
      <c r="E28" s="18">
        <f>+Resultats_N1!$AG$19+Resultats_N1!$AQ$19+Resultats_N1!$AR$19+Resultats_N1!$AS$19+Resultats_N1!$AT$19</f>
        <v>13330</v>
      </c>
      <c r="F28" s="18">
        <f>Resultats!$T$19</f>
        <v>997</v>
      </c>
      <c r="G28" s="19">
        <f>F28/B28</f>
        <v>5.4341309205864718E-2</v>
      </c>
      <c r="H28" s="20">
        <f>(Resultats!$J$19)/(Resultats!$N$19)</f>
        <v>0.32782369146005508</v>
      </c>
      <c r="I28" s="17">
        <f>Resultats!$AP$19</f>
        <v>105</v>
      </c>
      <c r="J28" s="21">
        <f>Resultats_N1!$AP$19/CALCUL_DATE!$B$1*CALCUL_DATE!$B$2</f>
        <v>60.153846153846153</v>
      </c>
      <c r="K28" s="17">
        <f>Resultats!$AD$19</f>
        <v>94</v>
      </c>
      <c r="L28" s="21">
        <f>Resultats_N1!$AD$19/CALCUL_DATE!$B$1*CALCUL_DATE!$B$2</f>
        <v>59.269230769230774</v>
      </c>
      <c r="M28" s="22">
        <f>P28/K28</f>
        <v>2.7127659574468086</v>
      </c>
      <c r="N28" s="22">
        <f>B28/K28</f>
        <v>195.18085106382978</v>
      </c>
      <c r="O28" s="22">
        <f>B28/P28</f>
        <v>71.949019607843141</v>
      </c>
      <c r="P28" s="18">
        <f>+Resultats!$AJ$19</f>
        <v>255</v>
      </c>
      <c r="Q28" s="18">
        <f>+Resultats_N1!$AJ$19/CALCUL_DATE!$B$1*CALCUL_DATE!$B$2</f>
        <v>191.96153846153848</v>
      </c>
      <c r="R28" s="19">
        <f>P28/Q28-1</f>
        <v>0.32839110398717675</v>
      </c>
      <c r="S28" s="10">
        <f>+Resultats!$J$19</f>
        <v>238</v>
      </c>
      <c r="T28" s="10">
        <f>+Resultats!$N$19</f>
        <v>726</v>
      </c>
    </row>
    <row r="29" spans="1:20" ht="17.25" customHeight="1" x14ac:dyDescent="0.25">
      <c r="A29" s="17" t="s">
        <v>273</v>
      </c>
      <c r="B29" s="18">
        <f>SUM(B27:B28)</f>
        <v>149943</v>
      </c>
      <c r="C29" s="18">
        <f>SUM(C27:C28)</f>
        <v>113356.38461538462</v>
      </c>
      <c r="D29" s="19">
        <f>B29/C29-1</f>
        <v>0.32275743010641045</v>
      </c>
      <c r="E29" s="18">
        <f>SUM(E27:E28)</f>
        <v>128142</v>
      </c>
      <c r="F29" s="18">
        <f>SUM(F27:F28)</f>
        <v>2494</v>
      </c>
      <c r="G29" s="19">
        <f>F29/B29</f>
        <v>1.6632987201803354E-2</v>
      </c>
      <c r="H29" s="19">
        <f>SUM(Resultats!$J$18:$J$21)/SUM(Resultats!$N$18:$N$21)</f>
        <v>0.43371303926320892</v>
      </c>
      <c r="I29" s="18">
        <f>SUM(I27:I28)</f>
        <v>665</v>
      </c>
      <c r="J29" s="21">
        <f>SUM(J27:J28)</f>
        <v>519.26923076923072</v>
      </c>
      <c r="K29" s="18">
        <f>SUM(K27:K28)</f>
        <v>624</v>
      </c>
      <c r="L29" s="21">
        <f>SUM(L27:L28)</f>
        <v>457.34615384615381</v>
      </c>
      <c r="M29" s="22">
        <f>P29/K29</f>
        <v>5.8125</v>
      </c>
      <c r="N29" s="22">
        <f>B29/K29</f>
        <v>240.29326923076923</v>
      </c>
      <c r="O29" s="22">
        <f>B29/P29</f>
        <v>41.340777502067823</v>
      </c>
      <c r="P29" s="18">
        <f>SUM(P27:P28)</f>
        <v>3627</v>
      </c>
      <c r="Q29" s="18">
        <f>SUM(Q27:Q28)</f>
        <v>3231.5000000000005</v>
      </c>
      <c r="R29" s="19">
        <f>P29/Q29-1</f>
        <v>0.12238898344422089</v>
      </c>
      <c r="S29" s="10">
        <f>SUM(S27:S28)</f>
        <v>3817</v>
      </c>
      <c r="T29" s="10">
        <f>SUM(T27:T28)</f>
        <v>8978</v>
      </c>
    </row>
    <row r="31" spans="1:20" ht="17.25" customHeight="1" x14ac:dyDescent="0.25">
      <c r="A31" s="23" t="s">
        <v>274</v>
      </c>
      <c r="B31" s="18">
        <f>+Resultats!$AG$23+Resultats!$AQ$23+Resultats!$AR$23+Resultats!$AS$23+Resultats!$AT$23+Resultats!$AG$22+Resultats!$AQ$22+Resultats!$AR$22+Resultats!$AS$22+Resultats!$AT$22</f>
        <v>70925</v>
      </c>
      <c r="C31" s="18">
        <f>E31/CALCUL_DATE!$B$1*CALCUL_DATE!$B$2</f>
        <v>40269.461538461539</v>
      </c>
      <c r="D31" s="19">
        <f>B31/C31-1</f>
        <v>0.76126020290237117</v>
      </c>
      <c r="E31" s="18">
        <f>+Resultats_N1!$AG$23+Resultats_N1!$AQ$23+Resultats_N1!$AR$23+Resultats_N1!$AS$23+Resultats_N1!$AT$23+Resultats_N1!$AG$22+Resultats_N1!$AQ$22+Resultats_N1!$AR$22+Resultats_N1!$AS$22+Resultats_N1!$AT$22</f>
        <v>45522</v>
      </c>
      <c r="F31" s="18">
        <f>Resultats!$T$23+Resultats!$T$22</f>
        <v>6059</v>
      </c>
      <c r="G31" s="19">
        <f>F31/B31</f>
        <v>8.5428269298554807E-2</v>
      </c>
      <c r="H31" s="20">
        <f>(Resultats!$J$23+Resultats!$J$22)/(Resultats!$N$23+Resultats!$N$22)</f>
        <v>0.74673958771560789</v>
      </c>
      <c r="I31" s="17">
        <f>Resultats!$AP$23+Resultats!$AP$22</f>
        <v>219</v>
      </c>
      <c r="J31" s="21">
        <f>(Resultats_N1!$AP$23+Resultats_N1!$AP$22)/CALCUL_DATE!$B$1*CALCUL_DATE!$B$2</f>
        <v>148.61538461538461</v>
      </c>
      <c r="K31" s="17">
        <f>Resultats!$AD$23+Resultats!$AD$22</f>
        <v>234</v>
      </c>
      <c r="L31" s="21">
        <f>(Resultats_N1!$AD$23+Resultats_N1!$AD$22)/CALCUL_DATE!$B$1*CALCUL_DATE!$B$2</f>
        <v>130.92307692307693</v>
      </c>
      <c r="M31" s="22">
        <f>P31/K31</f>
        <v>7.9914529914529915</v>
      </c>
      <c r="N31" s="22">
        <f>B31/K31</f>
        <v>303.09829059829059</v>
      </c>
      <c r="O31" s="22">
        <f>B31/P31</f>
        <v>37.927807486631018</v>
      </c>
      <c r="P31" s="18">
        <f>+Resultats!$AJ$23+Resultats!$AJ$22</f>
        <v>1870</v>
      </c>
      <c r="Q31" s="18">
        <f>+(Resultats_N1!$AJ$23+Resultats_N1!$AJ$22)/CALCUL_DATE!$B$1*CALCUL_DATE!$B$2</f>
        <v>1091.6153846153845</v>
      </c>
      <c r="R31" s="19">
        <f>P31/Q31-1</f>
        <v>0.71305757170037354</v>
      </c>
      <c r="S31" s="10">
        <f>+Resultats!$J$23+Resultats!$J$22</f>
        <v>1775</v>
      </c>
      <c r="T31" s="10">
        <f>+Resultats!$N$23+Resultats!$N$22</f>
        <v>2377</v>
      </c>
    </row>
    <row r="32" spans="1:20" ht="17.25" customHeight="1" x14ac:dyDescent="0.25">
      <c r="A32" s="23" t="s">
        <v>110</v>
      </c>
      <c r="B32" s="18">
        <f>+Resultats!$AG$24+Resultats!$AQ$24+Resultats!$AR$24+Resultats!$AS$24+Resultats!$AT$24</f>
        <v>12009</v>
      </c>
      <c r="C32" s="18">
        <f>E32/CALCUL_DATE!$B$1*CALCUL_DATE!$B$2</f>
        <v>4167.4230769230762</v>
      </c>
      <c r="D32" s="19">
        <f>B32/C32-1</f>
        <v>1.8816368720755312</v>
      </c>
      <c r="E32" s="18">
        <f>+Resultats_N1!$AG$24+Resultats_N1!$AQ$24+Resultats_N1!$AR$24+Resultats_N1!$AS$24+Resultats_N1!$AT$24</f>
        <v>4711</v>
      </c>
      <c r="F32" s="18">
        <f>Resultats!$T$24</f>
        <v>0</v>
      </c>
      <c r="G32" s="19">
        <f>F32/B32</f>
        <v>0</v>
      </c>
      <c r="H32" s="20">
        <f>(Resultats!$J$24)/(Resultats!$N$24)</f>
        <v>0.69806094182825484</v>
      </c>
      <c r="I32" s="17">
        <f>Resultats!$AP$24</f>
        <v>16</v>
      </c>
      <c r="J32" s="21">
        <f>Resultats_N1!$AP$24/CALCUL_DATE!$B$1*CALCUL_DATE!$B$2</f>
        <v>15.038461538461538</v>
      </c>
      <c r="K32" s="17">
        <f>Resultats!$AD$24</f>
        <v>25</v>
      </c>
      <c r="L32" s="21">
        <f>Resultats_N1!$AD$24/CALCUL_DATE!$B$1*CALCUL_DATE!$B$2</f>
        <v>16.807692307692307</v>
      </c>
      <c r="M32" s="22">
        <f>P32/K32</f>
        <v>10.08</v>
      </c>
      <c r="N32" s="22">
        <f>B32/K32</f>
        <v>480.36</v>
      </c>
      <c r="O32" s="22">
        <f>B32/P32</f>
        <v>47.654761904761905</v>
      </c>
      <c r="P32" s="18">
        <f>+Resultats!$AJ$24</f>
        <v>252</v>
      </c>
      <c r="Q32" s="18">
        <f>+Resultats_N1!$AJ$24/CALCUL_DATE!$B$1*CALCUL_DATE!$B$2</f>
        <v>113.23076923076924</v>
      </c>
      <c r="R32" s="19">
        <f>P32/Q32-1</f>
        <v>1.2255434782608692</v>
      </c>
      <c r="S32" s="10">
        <f>+Resultats!$J$24</f>
        <v>252</v>
      </c>
      <c r="T32" s="10">
        <f>+Resultats!$N$24</f>
        <v>361</v>
      </c>
    </row>
    <row r="33" spans="1:22" ht="17.25" customHeight="1" x14ac:dyDescent="0.25">
      <c r="A33" s="23" t="s">
        <v>275</v>
      </c>
      <c r="B33" s="18">
        <f>+Resultats!$AG$25+Resultats!$AQ$25+Resultats!$AR$25+Resultats!$AS$25+Resultats!$AT$25+Resultats!$AG26+Resultats!$AQ26+Resultats!$AR26+Resultats!$AS26+Resultats!$AT26</f>
        <v>23903</v>
      </c>
      <c r="C33" s="18">
        <f>E33/CALCUL_DATE!$B$1*CALCUL_DATE!$B$2</f>
        <v>39590.076923076922</v>
      </c>
      <c r="D33" s="19">
        <f>B33/C33-1</f>
        <v>-0.39623759644510759</v>
      </c>
      <c r="E33" s="18">
        <f>+Resultats_N1!$AG$25+Resultats_N1!$AQ$25+Resultats_N1!$AR$25+Resultats_N1!$AS$25+Resultats_N1!$AT$25+Resultats_N1!$AG26+Resultats_N1!$AQ26+Resultats_N1!$AR26+Resultats_N1!$AS26+Resultats_N1!$AT26</f>
        <v>44754</v>
      </c>
      <c r="F33" s="18">
        <f>Resultats!$T$25+Resultats!$T26</f>
        <v>1030</v>
      </c>
      <c r="G33" s="19">
        <f>F33/B33</f>
        <v>4.3090825419403421E-2</v>
      </c>
      <c r="H33" s="20">
        <f>(Resultats!$J$25+Resultats!$J26)/(Resultats!$N$25+Resultats!$N26)</f>
        <v>0.41383285302593659</v>
      </c>
      <c r="I33" s="17">
        <f>Resultats!$AP$25+Resultats!$AP26</f>
        <v>132</v>
      </c>
      <c r="J33" s="21">
        <f>(Resultats_N1!$AP$25+Resultats_N1!$AP26)/CALCUL_DATE!$B$1*CALCUL_DATE!$B$2</f>
        <v>163.65384615384613</v>
      </c>
      <c r="K33" s="17">
        <f>Resultats!$AD$25+Resultats!$AD26</f>
        <v>116</v>
      </c>
      <c r="L33" s="21">
        <f>(Resultats_N1!$AD$25+Resultats_N1!$AD26)/CALCUL_DATE!$B$1*CALCUL_DATE!$B$2</f>
        <v>179.57692307692307</v>
      </c>
      <c r="M33" s="22">
        <f>P33/K33</f>
        <v>6.3362068965517242</v>
      </c>
      <c r="N33" s="22">
        <f>B33/K33</f>
        <v>206.06034482758622</v>
      </c>
      <c r="O33" s="22">
        <f>B33/P33</f>
        <v>32.521088435374146</v>
      </c>
      <c r="P33" s="18">
        <f>+Resultats!$AJ$25+Resultats!$AJ26</f>
        <v>735</v>
      </c>
      <c r="Q33" s="18">
        <f>+(Resultats_N1!$AJ$25+Resultats_N1!$AJ26)/CALCUL_DATE!$B$1*CALCUL_DATE!$B$2</f>
        <v>981.92307692307691</v>
      </c>
      <c r="R33" s="19">
        <f>P33/Q33-1</f>
        <v>-0.25146886016451231</v>
      </c>
      <c r="S33" s="10">
        <f>+Resultats!$J$25+Resultats!$J26</f>
        <v>718</v>
      </c>
      <c r="T33" s="10">
        <f>+Resultats!$N$25+Resultats!$N26</f>
        <v>1735</v>
      </c>
    </row>
    <row r="34" spans="1:22" ht="17.25" customHeight="1" x14ac:dyDescent="0.25">
      <c r="A34" s="17" t="s">
        <v>276</v>
      </c>
      <c r="B34" s="18">
        <f>SUM(B31:B33)</f>
        <v>106837</v>
      </c>
      <c r="C34" s="18">
        <f>SUM(C31:C33)</f>
        <v>84026.961538461532</v>
      </c>
      <c r="D34" s="19">
        <f>B34/C34-1</f>
        <v>0.271460945914338</v>
      </c>
      <c r="E34" s="18">
        <f>SUM(E31:E33)</f>
        <v>94987</v>
      </c>
      <c r="F34" s="18">
        <f>SUM(F31:F33)</f>
        <v>7089</v>
      </c>
      <c r="G34" s="19">
        <f>F34/B34</f>
        <v>6.6353416887407923E-2</v>
      </c>
      <c r="H34" s="19">
        <f>SUM(Resultats!$J$22:$J$26)/SUM(Resultats!$N$22:$N$26)</f>
        <v>0.61368209255533201</v>
      </c>
      <c r="I34" s="18">
        <f>SUM(I31:I33)</f>
        <v>367</v>
      </c>
      <c r="J34" s="21">
        <f>SUM(J31:J33)</f>
        <v>327.30769230769226</v>
      </c>
      <c r="K34" s="18">
        <f>SUM(K31:K33)</f>
        <v>375</v>
      </c>
      <c r="L34" s="21">
        <f>SUM(L31:L33)</f>
        <v>327.30769230769226</v>
      </c>
      <c r="M34" s="22">
        <f>P34/K34</f>
        <v>7.6186666666666669</v>
      </c>
      <c r="N34" s="22">
        <f>B34/K34</f>
        <v>284.89866666666666</v>
      </c>
      <c r="O34" s="22">
        <f>B34/P34</f>
        <v>37.394819740987046</v>
      </c>
      <c r="P34" s="18">
        <f>SUM(P31:P33)</f>
        <v>2857</v>
      </c>
      <c r="Q34" s="18">
        <f>SUM(Q31:Q33)</f>
        <v>2186.7692307692305</v>
      </c>
      <c r="R34" s="19">
        <f>P34/Q34-1</f>
        <v>0.30649359786126373</v>
      </c>
      <c r="S34" s="10">
        <f>SUM(S31:S33)</f>
        <v>2745</v>
      </c>
      <c r="T34" s="10">
        <f>SUM(T31:T33)</f>
        <v>4473</v>
      </c>
    </row>
    <row r="36" spans="1:22" ht="17.25" customHeight="1" x14ac:dyDescent="0.25">
      <c r="A36" s="23" t="s">
        <v>102</v>
      </c>
      <c r="B36" s="18">
        <f>+Resultats!$AG$27+Resultats!$AQ$27+Resultats!$AR$27+Resultats!$AS$27+Resultats!$AT$27</f>
        <v>67104</v>
      </c>
      <c r="C36" s="18">
        <f>E36/CALCUL_DATE!$B$1*CALCUL_DATE!$B$2</f>
        <v>37382.961538461539</v>
      </c>
      <c r="D36" s="19">
        <f>B36/C36-1</f>
        <v>0.79504237327371485</v>
      </c>
      <c r="E36" s="18">
        <f>+Resultats_N1!$AG$27+Resultats_N1!$AQ$27+Resultats_N1!$AR$27+Resultats_N1!$AS$27+Resultats_N1!$AT$27</f>
        <v>42259</v>
      </c>
      <c r="F36" s="18">
        <f>Resultats!$T$27</f>
        <v>1306</v>
      </c>
      <c r="G36" s="19">
        <f>F36/B36</f>
        <v>1.9462327134000954E-2</v>
      </c>
      <c r="H36" s="20">
        <f>(Resultats!$J$27)/(Resultats!$N$27)</f>
        <v>0.60675589547482478</v>
      </c>
      <c r="I36" s="17">
        <f>Resultats!$AP$27</f>
        <v>233</v>
      </c>
      <c r="J36" s="21">
        <f>Resultats_N1!$AP$27/CALCUL_DATE!$B$1*CALCUL_DATE!$B$2</f>
        <v>168.96153846153845</v>
      </c>
      <c r="K36" s="17">
        <f>Resultats!$AD$27</f>
        <v>244</v>
      </c>
      <c r="L36" s="21">
        <f>Resultats_N1!$AD$27/CALCUL_DATE!$B$1*CALCUL_DATE!$B$2</f>
        <v>176.03846153846155</v>
      </c>
      <c r="M36" s="22">
        <f>P36/K36</f>
        <v>7.8975409836065573</v>
      </c>
      <c r="N36" s="22">
        <f>B36/K36</f>
        <v>275.01639344262293</v>
      </c>
      <c r="O36" s="22">
        <f>B36/P36</f>
        <v>34.823040996367411</v>
      </c>
      <c r="P36" s="18">
        <f>+Resultats!$AJ$27</f>
        <v>1927</v>
      </c>
      <c r="Q36" s="18">
        <f>+Resultats_N1!$AJ$27/CALCUL_DATE!$B$1*CALCUL_DATE!$B$2</f>
        <v>1155.3076923076924</v>
      </c>
      <c r="R36" s="19">
        <f>P36/Q36-1</f>
        <v>0.66795392502829731</v>
      </c>
      <c r="S36" s="10">
        <f>+Resultats!$J$27</f>
        <v>1904</v>
      </c>
      <c r="T36" s="10">
        <f>+Resultats!$N$27</f>
        <v>3138</v>
      </c>
    </row>
    <row r="37" spans="1:22" ht="17.25" customHeight="1" x14ac:dyDescent="0.25">
      <c r="A37" s="23" t="s">
        <v>55</v>
      </c>
      <c r="B37" s="18">
        <f>+Resultats!$AG$28+Resultats!$AQ$28+Resultats!$AR$28+Resultats!$AS$28+Resultats!$AT$28</f>
        <v>22331</v>
      </c>
      <c r="C37" s="18">
        <f>E37/CALCUL_DATE!$B$1*CALCUL_DATE!$B$2</f>
        <v>18367.26923076923</v>
      </c>
      <c r="D37" s="19">
        <f>B37/C37-1</f>
        <v>0.21580403267518089</v>
      </c>
      <c r="E37" s="18">
        <f>+Resultats_N1!$AG$28+Resultats_N1!$AQ$28+Resultats_N1!$AR$28+Resultats_N1!$AS$28+Resultats_N1!$AT$28</f>
        <v>20763</v>
      </c>
      <c r="F37" s="18">
        <f>Resultats!$T$28</f>
        <v>621</v>
      </c>
      <c r="G37" s="19">
        <f>F37/B37</f>
        <v>2.7808875554162376E-2</v>
      </c>
      <c r="H37" s="20">
        <f>(Resultats!$J$28)/(Resultats!$N$28)</f>
        <v>0.68004115226337447</v>
      </c>
      <c r="I37" s="17">
        <f>Resultats!$AP$28</f>
        <v>62</v>
      </c>
      <c r="J37" s="21">
        <f>Resultats_N1!$AP$28/CALCUL_DATE!$B$1*CALCUL_DATE!$B$2</f>
        <v>74.307692307692307</v>
      </c>
      <c r="K37" s="17">
        <f>Resultats!$AD$28</f>
        <v>72</v>
      </c>
      <c r="L37" s="21">
        <f>Resultats_N1!$AD$28/CALCUL_DATE!$B$1*CALCUL_DATE!$B$2</f>
        <v>80.5</v>
      </c>
      <c r="M37" s="22">
        <f>P37/K37</f>
        <v>9.4444444444444446</v>
      </c>
      <c r="N37" s="22">
        <f>B37/K37</f>
        <v>310.15277777777777</v>
      </c>
      <c r="O37" s="22">
        <f>B37/P37</f>
        <v>32.839705882352938</v>
      </c>
      <c r="P37" s="18">
        <f>+Resultats!$AJ$28</f>
        <v>680</v>
      </c>
      <c r="Q37" s="18">
        <f>+Resultats_N1!$AJ$28/CALCUL_DATE!$B$1*CALCUL_DATE!$B$2</f>
        <v>643.11538461538453</v>
      </c>
      <c r="R37" s="19">
        <f>P37/Q37-1</f>
        <v>5.7353029125052579E-2</v>
      </c>
      <c r="S37" s="10">
        <f>+Resultats!$J$28</f>
        <v>661</v>
      </c>
      <c r="T37" s="10">
        <f>+Resultats!$N$28</f>
        <v>972</v>
      </c>
    </row>
    <row r="38" spans="1:22" ht="17.25" customHeight="1" x14ac:dyDescent="0.25">
      <c r="A38" s="17" t="s">
        <v>277</v>
      </c>
      <c r="B38" s="18">
        <f>SUM(B36:B37)</f>
        <v>89435</v>
      </c>
      <c r="C38" s="18">
        <f>SUM(C36:C37)</f>
        <v>55750.230769230766</v>
      </c>
      <c r="D38" s="19">
        <f>B38/C38-1</f>
        <v>0.60420860624240258</v>
      </c>
      <c r="E38" s="18">
        <f>SUM(E36:E37)</f>
        <v>63022</v>
      </c>
      <c r="F38" s="18">
        <f>SUM(F36:F37)</f>
        <v>1927</v>
      </c>
      <c r="G38" s="19">
        <f>F38/B38</f>
        <v>2.1546374461899703E-2</v>
      </c>
      <c r="H38" s="19">
        <f>SUM(Resultats!$J$27:$J$28)/SUM(Resultats!$N$27:$N$28)</f>
        <v>0.62408759124087587</v>
      </c>
      <c r="I38" s="17">
        <f>SUM(I36:I37)</f>
        <v>295</v>
      </c>
      <c r="J38" s="21">
        <f>SUM(J36:J37)</f>
        <v>243.26923076923077</v>
      </c>
      <c r="K38" s="17">
        <f>SUM(K36:K37)</f>
        <v>316</v>
      </c>
      <c r="L38" s="21">
        <f>SUM(L36:L37)</f>
        <v>256.53846153846155</v>
      </c>
      <c r="M38" s="22">
        <f>P38/K38</f>
        <v>8.25</v>
      </c>
      <c r="N38" s="22">
        <f>B38/K38</f>
        <v>283.02215189873419</v>
      </c>
      <c r="O38" s="22">
        <f>B38/P38</f>
        <v>34.305715381664747</v>
      </c>
      <c r="P38" s="21">
        <f>SUM(P36:P37)</f>
        <v>2607</v>
      </c>
      <c r="Q38" s="21">
        <f>SUM(Q36:Q37)</f>
        <v>1798.4230769230769</v>
      </c>
      <c r="R38" s="19">
        <f>P38/Q38-1</f>
        <v>0.44960328492910451</v>
      </c>
      <c r="S38" s="15">
        <f>SUM(S36:S37)</f>
        <v>2565</v>
      </c>
      <c r="T38" s="15">
        <f>SUM(T36:T37)</f>
        <v>4110</v>
      </c>
    </row>
    <row r="40" spans="1:22" ht="17.25" customHeight="1" x14ac:dyDescent="0.25">
      <c r="A40" s="41" t="s">
        <v>298</v>
      </c>
      <c r="B40" s="18">
        <f>+B29+B34+B38</f>
        <v>346215</v>
      </c>
      <c r="C40" s="18">
        <f>+C29+C34+C38</f>
        <v>253133.57692307694</v>
      </c>
      <c r="D40" s="19">
        <f>B40/C40-1</f>
        <v>0.36771661906080899</v>
      </c>
      <c r="E40" s="18">
        <f>+E29+E34+E38</f>
        <v>286151</v>
      </c>
      <c r="F40" s="18">
        <f>+F29+F34+F38</f>
        <v>11510</v>
      </c>
      <c r="G40" s="19">
        <f>F40/B40</f>
        <v>3.3245237785768961E-2</v>
      </c>
      <c r="H40" s="19">
        <f>((SUM(Resultats!$J$18:$J$28))/(SUM(Resultats!$N$18:$N$28)))</f>
        <v>0.52800712800712801</v>
      </c>
      <c r="I40" s="18">
        <f>+I29+I34+I38</f>
        <v>1327</v>
      </c>
      <c r="J40" s="21">
        <f>+J29+J34+J38</f>
        <v>1089.8461538461538</v>
      </c>
      <c r="K40" s="18">
        <f>+K29+K34+K38</f>
        <v>1315</v>
      </c>
      <c r="L40" s="21">
        <f>+L29+L34+L38</f>
        <v>1041.1923076923076</v>
      </c>
      <c r="M40" s="22">
        <f>P40/K40</f>
        <v>6.9133079847908743</v>
      </c>
      <c r="N40" s="22">
        <f>B40/K40</f>
        <v>263.2813688212928</v>
      </c>
      <c r="O40" s="22">
        <f>B40/P40</f>
        <v>38.08326916730833</v>
      </c>
      <c r="P40" s="18">
        <f>+P29+P34+P38</f>
        <v>9091</v>
      </c>
      <c r="Q40" s="18">
        <f>+Q29+Q34+Q38</f>
        <v>7216.6923076923076</v>
      </c>
      <c r="R40" s="19">
        <f>P40/Q40-1</f>
        <v>0.25971838792542923</v>
      </c>
      <c r="S40" s="10">
        <f>+S29+S34+S23</f>
        <v>8355</v>
      </c>
      <c r="T40" s="10">
        <f>+T29+T34+T23</f>
        <v>16011</v>
      </c>
      <c r="V40" s="10"/>
    </row>
    <row r="42" spans="1:22" ht="17.25" customHeight="1" x14ac:dyDescent="0.25">
      <c r="A42" s="23" t="s">
        <v>278</v>
      </c>
      <c r="B42" s="18">
        <f>+Resultats!$AG$29+Resultats!$AQ$29+Resultats!$AR$29+Resultats!$AS$29+Resultats!$AT$29+Resultats!$AG$30+Resultats!$AQ$30+Resultats!$AR$30+Resultats!$AS$30+Resultats!$AT$30</f>
        <v>25361</v>
      </c>
      <c r="C42" s="18">
        <f>E42/CALCUL_DATE!$B$1*CALCUL_DATE!$B$2</f>
        <v>18283.23076923077</v>
      </c>
      <c r="D42" s="19">
        <f>B42/C42-1</f>
        <v>0.38711808214336796</v>
      </c>
      <c r="E42" s="18">
        <f>+Resultats_N1!$AG$29+Resultats_N1!$AQ$29+Resultats_N1!$AR$29+Resultats_N1!$AS$29+Resultats_N1!$AT$29+Resultats_N1!$AG$30+Resultats_N1!$AQ$30+Resultats_N1!$AR$30+Resultats_N1!$AS$30+Resultats_N1!$AT$30</f>
        <v>20668</v>
      </c>
      <c r="F42" s="18">
        <f>Resultats!$T$29+Resultats!$T$30</f>
        <v>1809</v>
      </c>
      <c r="G42" s="19">
        <f>F42/B42</f>
        <v>7.1329994874019156E-2</v>
      </c>
      <c r="H42" s="20">
        <f>(Resultats!$J$29+Resultats!$J$30)/(Resultats!$N$29+Resultats!$N$30)</f>
        <v>0.5980650835532102</v>
      </c>
      <c r="I42" s="17">
        <f>Resultats!$AP$29+Resultats!$AP$30</f>
        <v>88</v>
      </c>
      <c r="J42" s="21">
        <f>(Resultats_N1!$AP$29+Resultats_N1!$AP$30)/CALCUL_DATE!$B$1*CALCUL_DATE!$B$2</f>
        <v>84.038461538461533</v>
      </c>
      <c r="K42" s="17">
        <f>Resultats!$AD$29+Resultats!$AD$30</f>
        <v>93</v>
      </c>
      <c r="L42" s="21">
        <f>(Resultats_N1!$AD$29+Resultats_N1!$AD$30)/CALCUL_DATE!$B$1*CALCUL_DATE!$B$2</f>
        <v>84.038461538461533</v>
      </c>
      <c r="M42" s="22">
        <f>P42/K42</f>
        <v>7.623655913978495</v>
      </c>
      <c r="N42" s="22">
        <f>B42/K42</f>
        <v>272.69892473118279</v>
      </c>
      <c r="O42" s="22">
        <f>B42/P42</f>
        <v>35.770098730606485</v>
      </c>
      <c r="P42" s="18">
        <f>+Resultats!$AJ$29+Resultats!$AJ$30</f>
        <v>709</v>
      </c>
      <c r="Q42" s="18">
        <f>+(Resultats_N1!$AJ$29+Resultats_N1!$AJ$30)/CALCUL_DATE!$B$1*CALCUL_DATE!$B$2</f>
        <v>502.46153846153845</v>
      </c>
      <c r="R42" s="19">
        <f>P42/Q42-1</f>
        <v>0.41105327617881193</v>
      </c>
      <c r="S42" s="10">
        <f>+Resultats!$J$29+Resultats!$J$30</f>
        <v>680</v>
      </c>
      <c r="T42" s="10">
        <f>+Resultats!$N$29+Resultats!$N$30</f>
        <v>1137</v>
      </c>
    </row>
    <row r="43" spans="1:22" ht="17.25" customHeight="1" x14ac:dyDescent="0.25">
      <c r="A43" s="23" t="s">
        <v>279</v>
      </c>
      <c r="B43" s="18">
        <f>+Resultats!$AG$32+Resultats!$AQ$32+Resultats!$AR$32+Resultats!$AS$32+Resultats!$AT$32+Resultats!$AG33+Resultats!$AQ33+Resultats!$AR33+Resultats!$AS33+Resultats!$AT33</f>
        <v>51853</v>
      </c>
      <c r="C43" s="18">
        <f>E43/CALCUL_DATE!$B$1*CALCUL_DATE!$B$2</f>
        <v>30156.538461538461</v>
      </c>
      <c r="D43" s="19">
        <f>B43/C43-1</f>
        <v>0.71946127259045745</v>
      </c>
      <c r="E43" s="18">
        <f>+Resultats_N1!$AG$32+Resultats_N1!$AQ$32+Resultats_N1!$AR$32+Resultats_N1!$AS$32+Resultats_N1!$AT$32+Resultats_N1!$AG33+Resultats_N1!$AQ33+Resultats_N1!$AR33+Resultats_N1!$AS33+Resultats_N1!$AT33</f>
        <v>34090</v>
      </c>
      <c r="F43" s="18">
        <f>Resultats!$T$32+Resultats!$T33</f>
        <v>1466</v>
      </c>
      <c r="G43" s="19">
        <f>F43/B43</f>
        <v>2.8272231114882456E-2</v>
      </c>
      <c r="H43" s="20">
        <f>(Resultats!$J$32+Resultats!$J33)/(Resultats!$N$32+Resultats!$N33)</f>
        <v>0.62419434804164597</v>
      </c>
      <c r="I43" s="17">
        <f>Resultats!$AP$32+Resultats!$AP33</f>
        <v>166</v>
      </c>
      <c r="J43" s="21">
        <f>(Resultats_N1!$AP$32+Resultats_N1!$AP33)/CALCUL_DATE!$B$1*CALCUL_DATE!$B$2</f>
        <v>146.84615384615387</v>
      </c>
      <c r="K43" s="17">
        <f>Resultats!$AD$32+Resultats!$AD33</f>
        <v>180</v>
      </c>
      <c r="L43" s="21">
        <f>(Resultats_N1!$AD$32+Resultats_N1!$AD33)/CALCUL_DATE!$B$1*CALCUL_DATE!$B$2</f>
        <v>132.69230769230768</v>
      </c>
      <c r="M43" s="22">
        <f>P43/K43</f>
        <v>7.177777777777778</v>
      </c>
      <c r="N43" s="22">
        <f>B43/K43</f>
        <v>288.07222222222219</v>
      </c>
      <c r="O43" s="22">
        <f>B43/P43</f>
        <v>40.133900928792571</v>
      </c>
      <c r="P43" s="18">
        <f>+Resultats!$AJ$32+Resultats!$AJ33</f>
        <v>1292</v>
      </c>
      <c r="Q43" s="18">
        <f>+(Resultats_N1!$AJ$32+Resultats_N1!$AJ33)/CALCUL_DATE!$B$1*CALCUL_DATE!$B$2</f>
        <v>848.34615384615392</v>
      </c>
      <c r="R43" s="19">
        <f>P43/Q43-1</f>
        <v>0.52296323162714775</v>
      </c>
      <c r="S43" s="10">
        <f>+Resultats!$J$32+Resultats!$J33</f>
        <v>1259</v>
      </c>
      <c r="T43" s="10">
        <f>+Resultats!$N$32+Resultats!$N33</f>
        <v>2017</v>
      </c>
    </row>
    <row r="44" spans="1:22" ht="17.25" customHeight="1" x14ac:dyDescent="0.25">
      <c r="A44" s="17" t="s">
        <v>280</v>
      </c>
      <c r="B44" s="18">
        <f>SUM(B42:B43)</f>
        <v>77214</v>
      </c>
      <c r="C44" s="18">
        <f>SUM(C42:C43)</f>
        <v>48439.769230769234</v>
      </c>
      <c r="D44" s="19">
        <f>B44/C44-1</f>
        <v>0.5940208061716612</v>
      </c>
      <c r="E44" s="18">
        <f>SUM(E42:E43)</f>
        <v>54758</v>
      </c>
      <c r="F44" s="18">
        <f>SUM(F42:F43)</f>
        <v>3275</v>
      </c>
      <c r="G44" s="19">
        <f>F44/B44</f>
        <v>4.2414588028077807E-2</v>
      </c>
      <c r="H44" s="19">
        <f>SUM(Resultats!$J$29:$J$33)/SUM(Resultats!$N$29:$N$33)</f>
        <v>0.61477488902980337</v>
      </c>
      <c r="I44" s="17">
        <f>SUM(I42:I43)</f>
        <v>254</v>
      </c>
      <c r="J44" s="21">
        <f>SUM(J42:J43)</f>
        <v>230.88461538461542</v>
      </c>
      <c r="K44" s="17">
        <f>SUM(K42:K43)</f>
        <v>273</v>
      </c>
      <c r="L44" s="21">
        <f>SUM(L42:L43)</f>
        <v>216.73076923076923</v>
      </c>
      <c r="M44" s="22">
        <f>P44/K44</f>
        <v>7.3296703296703294</v>
      </c>
      <c r="N44" s="22">
        <f>B44/K44</f>
        <v>282.83516483516485</v>
      </c>
      <c r="O44" s="22">
        <f>B44/P44</f>
        <v>38.587706146926536</v>
      </c>
      <c r="P44" s="21">
        <f>SUM(P42:P43)</f>
        <v>2001</v>
      </c>
      <c r="Q44" s="21">
        <f>SUM(Q42:Q43)</f>
        <v>1350.8076923076924</v>
      </c>
      <c r="R44" s="19">
        <f>P44/Q44-1</f>
        <v>0.48133595284872288</v>
      </c>
      <c r="S44" s="15">
        <f>SUM(S43:S43)</f>
        <v>1259</v>
      </c>
      <c r="T44" s="15">
        <f>SUM(T43:T43)</f>
        <v>2017</v>
      </c>
    </row>
    <row r="46" spans="1:22" ht="17.25" customHeight="1" x14ac:dyDescent="0.25">
      <c r="A46" s="23" t="s">
        <v>281</v>
      </c>
      <c r="B46" s="18">
        <f>+Resultats!$AG$35+Resultats!$AQ$35+Resultats!$AR$35+Resultats!$AS$35+Resultats!$AT$35+Resultats!$AG$34+Resultats!$AQ$34+Resultats!$AR$34+Resultats!$AS$34+Resultats!$AT$34</f>
        <v>49647</v>
      </c>
      <c r="C46" s="18">
        <f>E46/CALCUL_DATE!$B$1*CALCUL_DATE!$B$2</f>
        <v>26559.692307692305</v>
      </c>
      <c r="D46" s="19">
        <f>B46/C46-1</f>
        <v>0.86926111284885166</v>
      </c>
      <c r="E46" s="18">
        <f>+Resultats_N1!$AG$35+Resultats_N1!$AQ$35+Resultats_N1!$AR$35+Resultats_N1!$AS$35+Resultats_N1!$AT$35+Resultats_N1!$AG$34+Resultats_N1!$AQ$34+Resultats_N1!$AR$34+Resultats_N1!$AS$34+Resultats_N1!$AT$34</f>
        <v>30024</v>
      </c>
      <c r="F46" s="18">
        <f>Resultats!$T$35+Resultats!$T$34</f>
        <v>1465</v>
      </c>
      <c r="G46" s="19">
        <f>F46/B46</f>
        <v>2.9508328801337441E-2</v>
      </c>
      <c r="H46" s="20">
        <f>(Resultats!$J$35+Resultats!$J$34)/(Resultats!$N$35+Resultats!$N$34)</f>
        <v>0.47646165527714501</v>
      </c>
      <c r="I46" s="17">
        <f>Resultats!$AP$35+Resultats!$AP$34</f>
        <v>187</v>
      </c>
      <c r="J46" s="21">
        <f>Resultats_N1!$AP$35+Resultats_N1!$AP$34/CALCUL_DATE!$B$1*CALCUL_DATE!$B$2</f>
        <v>126.57692307692308</v>
      </c>
      <c r="K46" s="17">
        <f>Resultats!$AD$35+Resultats!$AD$34</f>
        <v>186</v>
      </c>
      <c r="L46" s="21">
        <f>Resultats_N1!$AD$35+Resultats_N1!$AD$34/CALCUL_DATE!$B$1*CALCUL_DATE!$B$2</f>
        <v>121.34615384615384</v>
      </c>
      <c r="M46" s="22">
        <f>P46/K46</f>
        <v>6.833333333333333</v>
      </c>
      <c r="N46" s="22">
        <f>B46/K46</f>
        <v>266.91935483870969</v>
      </c>
      <c r="O46" s="22">
        <f>B46/P46</f>
        <v>39.061369000786783</v>
      </c>
      <c r="P46" s="18">
        <f>+Resultats!$AJ$35+Resultats!$AJ$34</f>
        <v>1271</v>
      </c>
      <c r="Q46" s="18">
        <f>+Resultats_N1!$AJ$35+Resultats_N1!$AJ$34/CALCUL_DATE!$B$1*CALCUL_DATE!$B$2</f>
        <v>913.38461538461536</v>
      </c>
      <c r="R46" s="19">
        <f>P46/Q46-1</f>
        <v>0.39152770759642919</v>
      </c>
      <c r="S46" s="10">
        <f>+Resultats!$J$35</f>
        <v>1188</v>
      </c>
      <c r="T46" s="10">
        <f>+Resultats!$N$35</f>
        <v>2426</v>
      </c>
    </row>
    <row r="48" spans="1:22" ht="17.25" customHeight="1" x14ac:dyDescent="0.25">
      <c r="A48" s="23" t="s">
        <v>282</v>
      </c>
      <c r="B48" s="18">
        <f>+Resultats!$AG$37+Resultats!$AQ$37+Resultats!$AR$37+Resultats!$AS$37+Resultats!$AT$37+Resultats!$AG$38+Resultats!$AQ$38+Resultats!$AR$38+Resultats!$AS$38+Resultats!$AT$38</f>
        <v>41823</v>
      </c>
      <c r="C48" s="18">
        <f>E48/CALCUL_DATE!$B$1*CALCUL_DATE!$B$2</f>
        <v>46130.038461538461</v>
      </c>
      <c r="D48" s="19">
        <f>B48/C48-1</f>
        <v>-9.3367328647027126E-2</v>
      </c>
      <c r="E48" s="18">
        <f>+Resultats_N1!$AG$37+Resultats_N1!$AQ$37+Resultats_N1!$AR$37+Resultats_N1!$AS$37+Resultats_N1!$AT$37+Resultats_N1!$AG$38+Resultats_N1!$AQ$38+Resultats_N1!$AR$38+Resultats_N1!$AS$38+Resultats_N1!$AT$38</f>
        <v>52147</v>
      </c>
      <c r="F48" s="18">
        <f>Resultats!$T$37+Resultats!$T$38</f>
        <v>2188</v>
      </c>
      <c r="G48" s="19">
        <f>F48/B48</f>
        <v>5.2315711450637209E-2</v>
      </c>
      <c r="H48" s="20">
        <f>(Resultats!$J$37+Resultats!$J$38)/(Resultats!$N$37+Resultats!$N$38)</f>
        <v>0.62820512820512819</v>
      </c>
      <c r="I48" s="17">
        <f>Resultats!$AP$37+Resultats!$AP$38</f>
        <v>155</v>
      </c>
      <c r="J48" s="21">
        <f>(Resultats_N1!$AP$37+Resultats_N1!$AP$38)/CALCUL_DATE!$B$1*CALCUL_DATE!$B$2</f>
        <v>204.34615384615387</v>
      </c>
      <c r="K48" s="17">
        <f>Resultats!$AD$37+Resultats!$AD$38</f>
        <v>168</v>
      </c>
      <c r="L48" s="21">
        <f>(Resultats_N1!$AD$37+Resultats_N1!$AD$38)/CALCUL_DATE!$B$1*CALCUL_DATE!$B$2</f>
        <v>209.65384615384613</v>
      </c>
      <c r="M48" s="22">
        <f>P48/K48</f>
        <v>6.6428571428571432</v>
      </c>
      <c r="N48" s="22">
        <f>B48/K48</f>
        <v>248.94642857142858</v>
      </c>
      <c r="O48" s="22">
        <f>B48/P48</f>
        <v>37.475806451612904</v>
      </c>
      <c r="P48" s="18">
        <f>+Resultats!$AJ$37+Resultats!$AJ$38</f>
        <v>1116</v>
      </c>
      <c r="Q48" s="18">
        <f>+(Resultats_N1!$AJ$37+Resultats_N1!$AJ$38)</f>
        <v>1558</v>
      </c>
      <c r="R48" s="19">
        <f>P48/Q48-1</f>
        <v>-0.28369704749679081</v>
      </c>
      <c r="S48" s="10">
        <f>+Resultats!$J$37+Resultats!$J$38</f>
        <v>1078</v>
      </c>
      <c r="T48" s="10">
        <f>+Resultats!$N$37+Resultats!$N$38</f>
        <v>1716</v>
      </c>
    </row>
    <row r="49" spans="1:20" ht="17.25" customHeight="1" x14ac:dyDescent="0.25">
      <c r="A49" s="23" t="s">
        <v>283</v>
      </c>
      <c r="B49" s="18">
        <f>+Resultats!$AG$40+Resultats!$AQ$40+Resultats!$AR$40+Resultats!$AS$40+Resultats!$AT$40+Resultats!$AG$39+Resultats!$AQ$39+Resultats!$AR$39+Resultats!$AS$39+Resultats!$AT$39</f>
        <v>19710</v>
      </c>
      <c r="C49" s="18">
        <f>E49/CALCUL_DATE!$B$1*CALCUL_DATE!$B$2</f>
        <v>15027.846153846152</v>
      </c>
      <c r="D49" s="19">
        <f>B49/C49-1</f>
        <v>0.31156519691649365</v>
      </c>
      <c r="E49" s="18">
        <f>+Resultats_N1!$AG$40+Resultats_N1!$AQ$40+Resultats_N1!$AR$40+Resultats_N1!$AS$40+Resultats_N1!$AT$40+Resultats_N1!$AG$39+Resultats_N1!$AQ$39+Resultats_N1!$AR$39+Resultats_N1!$AS$39+Resultats_N1!$AT$39</f>
        <v>16988</v>
      </c>
      <c r="F49" s="18">
        <f>Resultats!$T$40+Resultats!$T$39</f>
        <v>1304</v>
      </c>
      <c r="G49" s="19">
        <f>F49/B49</f>
        <v>6.6159309994926432E-2</v>
      </c>
      <c r="H49" s="20">
        <f>(Resultats!$J$40+Resultats!$J$39)/(Resultats!$N$40+Resultats!$N$39)</f>
        <v>0.40384615384615385</v>
      </c>
      <c r="I49" s="17">
        <f>Resultats!$AP$40+Resultats!$AP$39</f>
        <v>80</v>
      </c>
      <c r="J49" s="21">
        <f>(Resultats_N1!$AP$40+Resultats_N1!$AP$39)/CALCUL_DATE!$B$1*CALCUL_DATE!$B$2</f>
        <v>74.307692307692307</v>
      </c>
      <c r="K49" s="17">
        <f>Resultats!$AD$40+Resultats!$AD$39</f>
        <v>94</v>
      </c>
      <c r="L49" s="21">
        <f>(Resultats_N1!$AD$40+Resultats_N1!$AD$39)/CALCUL_DATE!$B$1*CALCUL_DATE!$B$2</f>
        <v>78.730769230769226</v>
      </c>
      <c r="M49" s="22">
        <f>P49/K49</f>
        <v>5.0957446808510642</v>
      </c>
      <c r="N49" s="22">
        <f>B49/K49</f>
        <v>209.68085106382978</v>
      </c>
      <c r="O49" s="22">
        <f>B49/P49</f>
        <v>41.148225469728601</v>
      </c>
      <c r="P49" s="18">
        <f>+Resultats!$AJ$40+Resultats!$AJ$39</f>
        <v>479</v>
      </c>
      <c r="Q49" s="18">
        <f>+(Resultats_N1!$AJ$40+Resultats_N1!$AJ$39)/CALCUL_DATE!$B$1*CALCUL_DATE!$B$2</f>
        <v>398.96153846153845</v>
      </c>
      <c r="R49" s="19">
        <f>P49/Q49-1</f>
        <v>0.20061698640701819</v>
      </c>
      <c r="S49" s="10">
        <f>+Resultats!$J$40+Resultats!$J$39</f>
        <v>462</v>
      </c>
      <c r="T49" s="10">
        <f>+Resultats!$N$40+Resultats!$N$39</f>
        <v>1144</v>
      </c>
    </row>
    <row r="50" spans="1:20" ht="17.25" customHeight="1" x14ac:dyDescent="0.25">
      <c r="A50" s="17" t="s">
        <v>284</v>
      </c>
      <c r="B50" s="18">
        <f>SUM(B48:B49)</f>
        <v>61533</v>
      </c>
      <c r="C50" s="18">
        <f>SUM(C48:C49)</f>
        <v>61157.88461538461</v>
      </c>
      <c r="D50" s="19">
        <f>B50/C50-1</f>
        <v>6.1335572179197495E-3</v>
      </c>
      <c r="E50" s="18">
        <f>SUM(E48:E49)</f>
        <v>69135</v>
      </c>
      <c r="F50" s="18">
        <f>SUM(F48:F49)</f>
        <v>3492</v>
      </c>
      <c r="G50" s="19">
        <f>F50/B50</f>
        <v>5.6750036565745211E-2</v>
      </c>
      <c r="H50" s="19">
        <f>SUM(Resultats!$J$37:$J$40)/SUM(Resultats!$N$37:$N$40)</f>
        <v>0.53846153846153844</v>
      </c>
      <c r="I50" s="17">
        <f>SUM(I48:I49)</f>
        <v>235</v>
      </c>
      <c r="J50" s="21">
        <f>SUM(J48:J49)</f>
        <v>278.65384615384619</v>
      </c>
      <c r="K50" s="17">
        <f>SUM(K48:K49)</f>
        <v>262</v>
      </c>
      <c r="L50" s="21">
        <f>SUM(L48:L49)</f>
        <v>288.38461538461536</v>
      </c>
      <c r="M50" s="22">
        <f>P50/K50</f>
        <v>6.0877862595419847</v>
      </c>
      <c r="N50" s="22">
        <f>B50/K50</f>
        <v>234.85877862595419</v>
      </c>
      <c r="O50" s="22">
        <f>B50/P50</f>
        <v>38.578683385579936</v>
      </c>
      <c r="P50" s="21">
        <f>SUM(P48:P49)</f>
        <v>1595</v>
      </c>
      <c r="Q50" s="21">
        <f>SUM(Q48:Q49)</f>
        <v>1956.9615384615386</v>
      </c>
      <c r="R50" s="19">
        <f>P50/Q50-1</f>
        <v>-0.18496098740197719</v>
      </c>
      <c r="S50" s="15">
        <f>SUM(S48:S49)</f>
        <v>1540</v>
      </c>
      <c r="T50" s="15">
        <f>SUM(T48:T49)</f>
        <v>2860</v>
      </c>
    </row>
    <row r="52" spans="1:20" ht="17.25" customHeight="1" x14ac:dyDescent="0.25">
      <c r="A52" s="41" t="s">
        <v>302</v>
      </c>
      <c r="B52" s="18">
        <f>B50+B44+B46</f>
        <v>188394</v>
      </c>
      <c r="C52" s="18">
        <f>C50+C44+C46</f>
        <v>136157.34615384616</v>
      </c>
      <c r="D52" s="19">
        <f>B52/C52-1</f>
        <v>0.38364917737990356</v>
      </c>
      <c r="E52" s="18">
        <f>E50+E44+E46</f>
        <v>153917</v>
      </c>
      <c r="F52" s="18">
        <f>F50+F44+F46</f>
        <v>8232</v>
      </c>
      <c r="G52" s="19">
        <f>F52/B52</f>
        <v>4.3695659097423484E-2</v>
      </c>
      <c r="H52" s="19">
        <f>SUM(Resultats!$J$29:$J$40)/SUM(Resultats!$N$29:$N$40)</f>
        <v>0.54740980573543019</v>
      </c>
      <c r="I52" s="18">
        <f>I50+I44+I46</f>
        <v>676</v>
      </c>
      <c r="J52" s="18">
        <f>J50+J44+J46</f>
        <v>636.11538461538464</v>
      </c>
      <c r="K52" s="18">
        <f>K50+K44+K46</f>
        <v>721</v>
      </c>
      <c r="L52" s="18">
        <f>L50+L44+L46</f>
        <v>626.46153846153845</v>
      </c>
      <c r="M52" s="22">
        <f>P52/K52</f>
        <v>6.7503467406380029</v>
      </c>
      <c r="N52" s="22">
        <f>B52/K52</f>
        <v>261.29542302357834</v>
      </c>
      <c r="O52" s="22">
        <f>B52/P52</f>
        <v>38.70844462708034</v>
      </c>
      <c r="P52" s="18">
        <f>P50+P44+P46</f>
        <v>4867</v>
      </c>
      <c r="Q52" s="18">
        <f>Q50+Q44+Q46</f>
        <v>4221.1538461538466</v>
      </c>
      <c r="R52" s="19">
        <f>P52/Q52-1</f>
        <v>0.15300227790432785</v>
      </c>
      <c r="S52" s="18">
        <f>S50+S44+S46</f>
        <v>3987</v>
      </c>
      <c r="T52" s="18">
        <f>T50+T44+T46</f>
        <v>7303</v>
      </c>
    </row>
    <row r="54" spans="1:20" ht="17.25" customHeight="1" x14ac:dyDescent="0.25">
      <c r="A54" s="23" t="s">
        <v>176</v>
      </c>
      <c r="B54" s="18">
        <f>+Resultats!$AG$41+Resultats!$AQ$41+Resultats!$AR$41+Resultats!$AS$41+Resultats!$AT$41</f>
        <v>106340</v>
      </c>
      <c r="C54" s="18">
        <f>E54/CALCUL_DATE!$B$1*CALCUL_DATE!$B$2</f>
        <v>76143.26923076922</v>
      </c>
      <c r="D54" s="19">
        <f>B54/C54-1</f>
        <v>0.39657780752377247</v>
      </c>
      <c r="E54" s="18">
        <f>+Resultats_N1!$AG$41+Resultats_N1!$AQ$41+Resultats_N1!$AR$41+Resultats_N1!$AS$41+Resultats_N1!$AT$41</f>
        <v>86075</v>
      </c>
      <c r="F54" s="18">
        <f>Resultats!$T$41</f>
        <v>2193</v>
      </c>
      <c r="G54" s="19">
        <f>F54/B54</f>
        <v>2.0622531502727103E-2</v>
      </c>
      <c r="H54" s="20">
        <f>(Resultats!$J$41)/(Resultats!$N$41)</f>
        <v>0.55675398048279401</v>
      </c>
      <c r="I54" s="17">
        <f>Resultats!$AP$41</f>
        <v>333</v>
      </c>
      <c r="J54" s="21">
        <f>Resultats_N1!$AP$41/CALCUL_DATE!$B$1*CALCUL_DATE!$B$2</f>
        <v>286.61538461538464</v>
      </c>
      <c r="K54" s="17">
        <f>Resultats!$AD$41</f>
        <v>318</v>
      </c>
      <c r="L54" s="21">
        <f>Resultats_N1!$AD$41/CALCUL_DATE!$B$1*CALCUL_DATE!$B$2</f>
        <v>264.5</v>
      </c>
      <c r="M54" s="22">
        <f>P54/K54</f>
        <v>10.327044025157234</v>
      </c>
      <c r="N54" s="22">
        <f>B54/K54</f>
        <v>334.40251572327043</v>
      </c>
      <c r="O54" s="22">
        <f>B54/P54</f>
        <v>32.38124238733252</v>
      </c>
      <c r="P54" s="18">
        <f>+Resultats!$AJ$41</f>
        <v>3284</v>
      </c>
      <c r="Q54" s="18">
        <f>+Resultats_N1!$AJ$41/CALCUL_DATE!$B$1*CALCUL_DATE!$B$2</f>
        <v>2444.1923076923076</v>
      </c>
      <c r="R54" s="19">
        <f>P54/Q54-1</f>
        <v>0.34359313285810944</v>
      </c>
      <c r="S54" s="10">
        <f>+Resultats!$J$41</f>
        <v>3252</v>
      </c>
      <c r="T54" s="10">
        <f>+Resultats!$N$41</f>
        <v>5841</v>
      </c>
    </row>
    <row r="55" spans="1:20" ht="17.25" customHeight="1" x14ac:dyDescent="0.25">
      <c r="A55" s="23" t="s">
        <v>174</v>
      </c>
      <c r="B55" s="18">
        <f>+Resultats!$AG$43+Resultats!$AQ$43+Resultats!$AR$43+Resultats!$AS$43+Resultats!$AT$43</f>
        <v>57953</v>
      </c>
      <c r="C55" s="18">
        <f>E55/CALCUL_DATE!$B$1*CALCUL_DATE!$B$2</f>
        <v>40769.269230769234</v>
      </c>
      <c r="D55" s="19">
        <f>B55/C55-1</f>
        <v>0.42148733821949214</v>
      </c>
      <c r="E55" s="18">
        <f>+Resultats_N1!$AG$43+Resultats_N1!$AQ$43+Resultats_N1!$AR$43+Resultats_N1!$AS$43+Resultats_N1!$AT$43</f>
        <v>46087</v>
      </c>
      <c r="F55" s="18">
        <f>Resultats!$T$43</f>
        <v>1109</v>
      </c>
      <c r="G55" s="19">
        <f>F55/B55</f>
        <v>1.9136196573085087E-2</v>
      </c>
      <c r="H55" s="20">
        <f>(Resultats!$J$43)/(Resultats!$N$43)</f>
        <v>0.49071137290439509</v>
      </c>
      <c r="I55" s="17">
        <f>Resultats!$AP$43</f>
        <v>297</v>
      </c>
      <c r="J55" s="21">
        <f>Resultats_N1!$AP$43/CALCUL_DATE!$B$1*CALCUL_DATE!$B$2</f>
        <v>245.03846153846152</v>
      </c>
      <c r="K55" s="17">
        <f>Resultats!$AD$43</f>
        <v>275</v>
      </c>
      <c r="L55" s="21">
        <f>Resultats_N1!$AD$43/CALCUL_DATE!$B$1*CALCUL_DATE!$B$2</f>
        <v>220.26923076923077</v>
      </c>
      <c r="M55" s="22">
        <f>P55/K55</f>
        <v>4.0072727272727269</v>
      </c>
      <c r="N55" s="22">
        <f>B55/K55</f>
        <v>210.73818181818183</v>
      </c>
      <c r="O55" s="22">
        <f>B55/P55</f>
        <v>52.588929219600729</v>
      </c>
      <c r="P55" s="18">
        <f>+Resultats!$AJ$43</f>
        <v>1102</v>
      </c>
      <c r="Q55" s="18">
        <f>+Resultats_N1!$AJ$43/CALCUL_DATE!$B$1*CALCUL_DATE!$B$2</f>
        <v>843.92307692307691</v>
      </c>
      <c r="R55" s="19">
        <f>P55/Q55-1</f>
        <v>0.30580621638866101</v>
      </c>
      <c r="S55" s="10">
        <f>+Resultats!$J$43</f>
        <v>1083</v>
      </c>
      <c r="T55" s="10">
        <f>+Resultats!$N$43</f>
        <v>2207</v>
      </c>
    </row>
    <row r="56" spans="1:20" ht="17.25" customHeight="1" x14ac:dyDescent="0.25">
      <c r="A56" s="17" t="s">
        <v>286</v>
      </c>
      <c r="B56" s="18">
        <f>SUM(B54:B55)</f>
        <v>164293</v>
      </c>
      <c r="C56" s="18">
        <f>SUM(C54:C55)</f>
        <v>116912.53846153845</v>
      </c>
      <c r="D56" s="19">
        <f>B56/C56-1</f>
        <v>0.40526415867745991</v>
      </c>
      <c r="E56" s="18">
        <f>SUM(E54:E55)</f>
        <v>132162</v>
      </c>
      <c r="F56" s="18">
        <f>SUM(F54:F55)</f>
        <v>3302</v>
      </c>
      <c r="G56" s="19">
        <f>F56/B56</f>
        <v>2.009823912156939E-2</v>
      </c>
      <c r="H56" s="19">
        <f>SUM(Resultats!$J$41:$J$43)/SUM(Resultats!$N$41:$N$43)</f>
        <v>0.53864314115308154</v>
      </c>
      <c r="I56" s="18">
        <f>SUM(I54:I55)</f>
        <v>630</v>
      </c>
      <c r="J56" s="21">
        <f>SUM(J54:J55)</f>
        <v>531.65384615384619</v>
      </c>
      <c r="K56" s="18">
        <f>SUM(K54:K55)</f>
        <v>593</v>
      </c>
      <c r="L56" s="21">
        <f>SUM(L54:L55)</f>
        <v>484.76923076923077</v>
      </c>
      <c r="M56" s="22">
        <f>P56/K56</f>
        <v>7.3962900505902196</v>
      </c>
      <c r="N56" s="22">
        <f>B56/K56</f>
        <v>277.05396290050589</v>
      </c>
      <c r="O56" s="22">
        <f>B56/P56</f>
        <v>37.458504331965344</v>
      </c>
      <c r="P56" s="18">
        <f>SUM(P54:P55)</f>
        <v>4386</v>
      </c>
      <c r="Q56" s="18">
        <f>SUM(Q54:Q55)</f>
        <v>3288.1153846153848</v>
      </c>
      <c r="R56" s="19">
        <f>P56/Q56-1</f>
        <v>0.33389479594343263</v>
      </c>
      <c r="S56" s="38">
        <f>SUM(S54:S55)</f>
        <v>4335</v>
      </c>
      <c r="T56" s="38">
        <f>SUM(T54:T55)</f>
        <v>8048</v>
      </c>
    </row>
    <row r="58" spans="1:20" ht="17.25" customHeight="1" x14ac:dyDescent="0.25">
      <c r="A58" s="23" t="s">
        <v>287</v>
      </c>
      <c r="B58" s="18">
        <f>+Resultats!$AG$46+Resultats!$AQ$46+Resultats!$AR$46+Resultats!$AS$46+Resultats!$AT$46+Resultats!$AG$47+Resultats!$AQ$47+Resultats!$AR$47+Resultats!$AS$47+Resultats!$AT$47</f>
        <v>49551</v>
      </c>
      <c r="C58" s="18">
        <f>E58/CALCUL_DATE!$B$1*CALCUL_DATE!$B$2</f>
        <v>30905.807692307695</v>
      </c>
      <c r="D58" s="19">
        <f>B58/C58-1</f>
        <v>0.60329089255069057</v>
      </c>
      <c r="E58" s="18">
        <f>+Resultats_N1!$AG$46+Resultats_N1!$AQ$46+Resultats_N1!$AR$46+Resultats_N1!$AS$46+Resultats_N1!$AT$46+Resultats_N1!$AG$47+Resultats_N1!$AQ$47+Resultats_N1!$AR$47+Resultats_N1!$AS$47+Resultats_N1!$AT$47</f>
        <v>34937</v>
      </c>
      <c r="F58" s="18">
        <f>Resultats!$T$46+Resultats!$T$47</f>
        <v>1121</v>
      </c>
      <c r="G58" s="19">
        <f>F58/B58</f>
        <v>2.2623155940344291E-2</v>
      </c>
      <c r="H58" s="20">
        <f>(Resultats!$J$46+Resultats!$J$47)/(Resultats!$N$46+Resultats!$N$47)</f>
        <v>0.44971264367816094</v>
      </c>
      <c r="I58" s="17">
        <f>Resultats!$AP$46+Resultats!$AP$47</f>
        <v>182</v>
      </c>
      <c r="J58" s="21">
        <f>(Resultats_N1!$AP$46+Resultats_N1!$AP$47)/CALCUL_DATE!$B$1*CALCUL_DATE!$B$2</f>
        <v>134.46153846153845</v>
      </c>
      <c r="K58" s="17">
        <f>Resultats!$AD$46+Resultats!$AD$47</f>
        <v>192</v>
      </c>
      <c r="L58" s="21">
        <f>(Resultats_N1!$AD$46+Resultats_N1!$AD$47)/CALCUL_DATE!$B$1*CALCUL_DATE!$B$2</f>
        <v>148.61538461538461</v>
      </c>
      <c r="M58" s="22">
        <f>P58/K58</f>
        <v>6.640625</v>
      </c>
      <c r="N58" s="22">
        <f>B58/K58</f>
        <v>258.078125</v>
      </c>
      <c r="O58" s="22">
        <f>B58/P58</f>
        <v>38.863529411764709</v>
      </c>
      <c r="P58" s="18">
        <f>+Resultats!$AJ$46+Resultats!$AJ$47</f>
        <v>1275</v>
      </c>
      <c r="Q58" s="18">
        <f>+(Resultats_N1!$AJ$46+Resultats_N1!$AJ$47)/CALCUL_DATE!$B$1*CALCUL_DATE!$B$2</f>
        <v>795.26923076923083</v>
      </c>
      <c r="R58" s="19">
        <f>P58/Q58-1</f>
        <v>0.60323064274314442</v>
      </c>
      <c r="S58" s="10">
        <f>+Resultats!$J$46+Resultats!$J$47</f>
        <v>1252</v>
      </c>
      <c r="T58" s="10">
        <f>+Resultats!$N$46+Resultats!$N$47</f>
        <v>2784</v>
      </c>
    </row>
    <row r="59" spans="1:20" ht="17.25" customHeight="1" x14ac:dyDescent="0.25">
      <c r="A59" s="23" t="s">
        <v>288</v>
      </c>
      <c r="B59" s="18">
        <f>+Resultats!$AG$48+Resultats!$AQ$48+Resultats!$AR$48+Resultats!$AS$48+Resultats!$AT$48+Resultats!$AG$49+Resultats!$AQ$49+Resultats!$AR$49+Resultats!$AS$49+Resultats!$AT$49</f>
        <v>26375</v>
      </c>
      <c r="C59" s="18">
        <f>E59/CALCUL_DATE!$B$1*CALCUL_DATE!$B$2</f>
        <v>18431.846153846152</v>
      </c>
      <c r="D59" s="19">
        <f>B59/C59-1</f>
        <v>0.43094727353159668</v>
      </c>
      <c r="E59" s="18">
        <f>+Resultats_N1!$AG$48+Resultats_N1!$AQ$48+Resultats_N1!$AR$48+Resultats_N1!$AS$48+Resultats_N1!$AT$48+Resultats_N1!$AG$49+Resultats_N1!$AQ$49+Resultats_N1!$AR$49+Resultats_N1!$AS$49+Resultats_N1!$AT$49</f>
        <v>20836</v>
      </c>
      <c r="F59" s="18">
        <f>Resultats!$T$48+Resultats!$T$49</f>
        <v>1078</v>
      </c>
      <c r="G59" s="19">
        <f>F59/B59</f>
        <v>4.087203791469194E-2</v>
      </c>
      <c r="H59" s="20">
        <f>(Resultats!$J$48+Resultats!$J$49)/(Resultats!$N$48+Resultats!$N$49)</f>
        <v>0.52390243902439027</v>
      </c>
      <c r="I59" s="17">
        <f>Resultats!$AP$48+Resultats!$AP$49</f>
        <v>143</v>
      </c>
      <c r="J59" s="21">
        <f>(Resultats_N1!$AP$48+Resultats_N1!$AP$49)/CALCUL_DATE!$B$1*CALCUL_DATE!$B$2</f>
        <v>134.46153846153845</v>
      </c>
      <c r="K59" s="17">
        <f>Resultats!$AD$48+Resultats!$AD$49</f>
        <v>134</v>
      </c>
      <c r="L59" s="21">
        <f>(Resultats_N1!$AD$48+Resultats_N1!$AD$49)/CALCUL_DATE!$B$1*CALCUL_DATE!$B$2</f>
        <v>120.30769230769231</v>
      </c>
      <c r="M59" s="22">
        <f>P59/K59</f>
        <v>4.1119402985074629</v>
      </c>
      <c r="N59" s="22">
        <f>B59/K59</f>
        <v>196.82835820895522</v>
      </c>
      <c r="O59" s="22">
        <f>B59/P59</f>
        <v>47.867513611615244</v>
      </c>
      <c r="P59" s="18">
        <f>+Resultats!$AJ$48+Resultats!$AJ$49</f>
        <v>551</v>
      </c>
      <c r="Q59" s="18">
        <f>+(Resultats_N1!$AJ$48+Resultats_N1!$AJ$49)/CALCUL_DATE!$B$1*CALCUL_DATE!$B$2</f>
        <v>403.38461538461542</v>
      </c>
      <c r="R59" s="19">
        <f>P59/Q59-1</f>
        <v>0.3659420289855071</v>
      </c>
      <c r="S59" s="10">
        <f>+Resultats!$J$48+Resultats!$J$49</f>
        <v>537</v>
      </c>
      <c r="T59" s="10">
        <f>+Resultats!$N$48+Resultats!$N$49</f>
        <v>1025</v>
      </c>
    </row>
    <row r="60" spans="1:20" ht="17.25" customHeight="1" x14ac:dyDescent="0.25">
      <c r="A60" s="17" t="s">
        <v>289</v>
      </c>
      <c r="B60" s="18">
        <f>SUM(B58:B59)</f>
        <v>75926</v>
      </c>
      <c r="C60" s="18">
        <f>SUM(C58:C59)</f>
        <v>49337.653846153844</v>
      </c>
      <c r="D60" s="19">
        <f>B60/C60-1</f>
        <v>0.53890576630892784</v>
      </c>
      <c r="E60" s="18">
        <f>SUM(E58:E59)</f>
        <v>55773</v>
      </c>
      <c r="F60" s="18">
        <f>SUM(F58:F59)</f>
        <v>2199</v>
      </c>
      <c r="G60" s="19">
        <f>F60/B60</f>
        <v>2.8962410768379739E-2</v>
      </c>
      <c r="H60" s="19">
        <f>SUM(Resultats!$J$46:$J$49)/SUM(Resultats!$N$46:$N$49)</f>
        <v>0.46967708059858232</v>
      </c>
      <c r="I60" s="17">
        <f>SUM(I58:I59)</f>
        <v>325</v>
      </c>
      <c r="J60" s="21">
        <f>SUM(J58:J59)</f>
        <v>268.92307692307691</v>
      </c>
      <c r="K60" s="17">
        <f>SUM(K58:K59)</f>
        <v>326</v>
      </c>
      <c r="L60" s="21">
        <f>SUM(L58:L59)</f>
        <v>268.92307692307691</v>
      </c>
      <c r="M60" s="22">
        <f>P60/K60</f>
        <v>5.6012269938650308</v>
      </c>
      <c r="N60" s="22">
        <f>B60/K60</f>
        <v>232.90184049079755</v>
      </c>
      <c r="O60" s="22">
        <f>B60/P60</f>
        <v>41.580503833515884</v>
      </c>
      <c r="P60" s="21">
        <f>SUM(P58:P59)</f>
        <v>1826</v>
      </c>
      <c r="Q60" s="21">
        <f>SUM(Q58:Q59)</f>
        <v>1198.6538461538462</v>
      </c>
      <c r="R60" s="19">
        <f>P60/Q60-1</f>
        <v>0.52337558158190278</v>
      </c>
      <c r="S60" s="15">
        <f>SUM(S58:S59)</f>
        <v>1789</v>
      </c>
      <c r="T60" s="15">
        <f>SUM(T58:T59)</f>
        <v>3809</v>
      </c>
    </row>
    <row r="62" spans="1:20" ht="17.25" customHeight="1" x14ac:dyDescent="0.25">
      <c r="A62" s="23" t="s">
        <v>285</v>
      </c>
      <c r="B62" s="18">
        <f>+Resultats!$AG$44+Resultats!$AQ$44+Resultats!$AR$44+Resultats!$AS$44+Resultats!$AT$44+Resultats!$AG45+Resultats!$AQ45+Resultats!$AR45+Resultats!$AS45+Resultats!$AT45</f>
        <v>42508</v>
      </c>
      <c r="C62" s="18">
        <f>E62/CALCUL_DATE!$B$1*CALCUL_DATE!$B$2</f>
        <v>26273.076923076926</v>
      </c>
      <c r="D62" s="19">
        <f>B62/C62-1</f>
        <v>0.61793002488654647</v>
      </c>
      <c r="E62" s="18">
        <f>+Resultats_N1!$AG$44+Resultats_N1!$AQ$44+Resultats_N1!$AR$44+Resultats_N1!$AS$44+Resultats_N1!$AT$44+Resultats_N1!$AG45+Resultats_N1!$AQ45+Resultats_N1!$AR45+Resultats_N1!$AS45+Resultats_N1!$AT45</f>
        <v>29700</v>
      </c>
      <c r="F62" s="18">
        <f>Resultats!$T$44+Resultats!$T45</f>
        <v>1197</v>
      </c>
      <c r="G62" s="19">
        <f>F62/B62</f>
        <v>2.81594052884163E-2</v>
      </c>
      <c r="H62" s="20">
        <f>(Resultats!$J$44+Resultats!$J45)/(Resultats!$N$44+Resultats!$N45)</f>
        <v>0.62053115423901939</v>
      </c>
      <c r="I62" s="17">
        <f>Resultats!$AP$44+Resultats!$AP45</f>
        <v>114</v>
      </c>
      <c r="J62" s="21">
        <f>(Resultats_N1!$AP$44+Resultats_N1!$AP45)/CALCUL_DATE!$B$1*CALCUL_DATE!$B$2</f>
        <v>97.307692307692307</v>
      </c>
      <c r="K62" s="17">
        <f>Resultats!$AD$44+Resultats!$AD45</f>
        <v>117</v>
      </c>
      <c r="L62" s="21">
        <f>(Resultats_N1!$AD$44+Resultats_N1!$AD45)/CALCUL_DATE!$B$1*CALCUL_DATE!$B$2</f>
        <v>98.192307692307693</v>
      </c>
      <c r="M62" s="22">
        <f>P62/K62</f>
        <v>10.521367521367521</v>
      </c>
      <c r="N62" s="22">
        <f>B62/K62</f>
        <v>363.31623931623932</v>
      </c>
      <c r="O62" s="22">
        <f>B62/P62</f>
        <v>34.53127538586515</v>
      </c>
      <c r="P62" s="18">
        <f>+Resultats!$AJ$44+Resultats!$AJ45</f>
        <v>1231</v>
      </c>
      <c r="Q62" s="18">
        <f>+(Resultats_N1!$AJ$44+Resultats_N1!$AJ45)/CALCUL_DATE!$B$1*CALCUL_DATE!$B$2</f>
        <v>828</v>
      </c>
      <c r="R62" s="19">
        <f>P62/Q62-1</f>
        <v>0.48671497584541057</v>
      </c>
      <c r="S62" s="10">
        <f>+Resultats!$J$44+Resultats!$J45</f>
        <v>1215</v>
      </c>
      <c r="T62" s="10">
        <f>+Resultats!$N$44+Resultats!$N45</f>
        <v>1958</v>
      </c>
    </row>
    <row r="63" spans="1:20" ht="17.25" customHeight="1" x14ac:dyDescent="0.25">
      <c r="A63" s="23" t="s">
        <v>290</v>
      </c>
      <c r="B63" s="18">
        <f>+Resultats!$AG$50+Resultats!$AQ$50+Resultats!$AR$50+Resultats!$AS$50+Resultats!$AT$50+Resultats!$AG$51+Resultats!$AQ$51+Resultats!$AR$51+Resultats!$AS$51+Resultats!$AT$51</f>
        <v>41973</v>
      </c>
      <c r="C63" s="18">
        <f>E63/CALCUL_DATE!$B$1*CALCUL_DATE!$B$2</f>
        <v>24027.923076923074</v>
      </c>
      <c r="D63" s="19">
        <f>B63/C63-1</f>
        <v>0.74684261580276812</v>
      </c>
      <c r="E63" s="18">
        <f>+Resultats_N1!$AG$50+Resultats_N1!$AQ$50+Resultats_N1!$AR$50+Resultats_N1!$AS$50+Resultats_N1!$AT$50+Resultats_N1!$AG$51+Resultats_N1!$AQ$51+Resultats_N1!$AR$51+Resultats_N1!$AS$51+Resultats_N1!$AT$51</f>
        <v>27162</v>
      </c>
      <c r="F63" s="18">
        <f>Resultats!$T$50+Resultats!$T$51</f>
        <v>2108</v>
      </c>
      <c r="G63" s="19">
        <f>F63/B63</f>
        <v>5.0222762251923854E-2</v>
      </c>
      <c r="H63" s="20">
        <f>(Resultats!$J$50+Resultats!$J$51)/(Resultats!$N$50+Resultats!$N$51)</f>
        <v>0.51350048216007715</v>
      </c>
      <c r="I63" s="17">
        <f>Resultats!$AP$50+Resultats!$AP$51</f>
        <v>174</v>
      </c>
      <c r="J63" s="21">
        <f>(Resultats_N1!$AP$50+Resultats_N1!$AP$51)/CALCUL_DATE!$B$1*CALCUL_DATE!$B$2</f>
        <v>145.07692307692307</v>
      </c>
      <c r="K63" s="17">
        <f>Resultats!$AD$50+Resultats!$AD$51</f>
        <v>191</v>
      </c>
      <c r="L63" s="21">
        <f>(Resultats_N1!$AD$50+Resultats_N1!$AD$51)/CALCUL_DATE!$B$1*CALCUL_DATE!$B$2</f>
        <v>144.19230769230768</v>
      </c>
      <c r="M63" s="22">
        <f>P63/K63</f>
        <v>5.827225130890052</v>
      </c>
      <c r="N63" s="22">
        <f>B63/K63</f>
        <v>219.75392670157069</v>
      </c>
      <c r="O63" s="22">
        <f>B63/P63</f>
        <v>37.711590296495956</v>
      </c>
      <c r="P63" s="18">
        <f>+Resultats!$AJ$50+Resultats!$AJ$51</f>
        <v>1113</v>
      </c>
      <c r="Q63" s="18">
        <f>+(Resultats_N1!$AJ$50+Resultats_N1!$AJ$51)/CALCUL_DATE!$B$1*CALCUL_DATE!$B$2</f>
        <v>535.19230769230774</v>
      </c>
      <c r="R63" s="19">
        <f>P63/Q63-1</f>
        <v>1.0796263025512034</v>
      </c>
      <c r="S63" s="10">
        <f>+Resultats!$J$50+Resultats!$J$51</f>
        <v>1065</v>
      </c>
      <c r="T63" s="10">
        <f>+Resultats!$N$50+Resultats!$N$51</f>
        <v>2074</v>
      </c>
    </row>
    <row r="64" spans="1:20" ht="17.25" customHeight="1" x14ac:dyDescent="0.25">
      <c r="A64" s="23" t="s">
        <v>291</v>
      </c>
      <c r="B64" s="18">
        <f>+Resultats!$AG$52+Resultats!$AQ$52+Resultats!$AR$52+Resultats!$AS$52+Resultats!$AT$52</f>
        <v>15879</v>
      </c>
      <c r="C64" s="18">
        <f>E64/CALCUL_DATE!$B$1*CALCUL_DATE!$B$2</f>
        <v>10265.076923076924</v>
      </c>
      <c r="D64" s="19">
        <f>B64/C64-1</f>
        <v>0.54689537340946881</v>
      </c>
      <c r="E64" s="18">
        <f>+Resultats_N1!$AG$52+Resultats_N1!$AQ$52+Resultats_N1!$AR$52+Resultats_N1!$AS$52+Resultats_N1!$AT$52</f>
        <v>11604</v>
      </c>
      <c r="F64" s="18">
        <f>Resultats!$T$52</f>
        <v>190</v>
      </c>
      <c r="G64" s="19">
        <f>F64/B64</f>
        <v>1.1965489010642988E-2</v>
      </c>
      <c r="H64" s="20">
        <f>(Resultats!$J$52)/(Resultats!$N$52)</f>
        <v>0.53727506426735216</v>
      </c>
      <c r="I64" s="17">
        <f>Resultats!$AP$52</f>
        <v>55</v>
      </c>
      <c r="J64" s="21">
        <f>Resultats_N1!$AP$52/CALCUL_DATE!$B$1*CALCUL_DATE!$B$2</f>
        <v>36.269230769230766</v>
      </c>
      <c r="K64" s="17">
        <f>Resultats!$AD$52</f>
        <v>65</v>
      </c>
      <c r="L64" s="21">
        <f>Resultats_N1!$AD$52/CALCUL_DATE!$B$1*CALCUL_DATE!$B$2</f>
        <v>44.230769230769234</v>
      </c>
      <c r="M64" s="22">
        <f>P64/K64</f>
        <v>6.4923076923076923</v>
      </c>
      <c r="N64" s="22">
        <f>B64/K64</f>
        <v>244.2923076923077</v>
      </c>
      <c r="O64" s="22">
        <f>B64/P64</f>
        <v>37.627962085308056</v>
      </c>
      <c r="P64" s="18">
        <f>+Resultats!$AJ$52</f>
        <v>422</v>
      </c>
      <c r="Q64" s="18">
        <f>+Resultats_N1!$AJ$52/CALCUL_DATE!$B$1*CALCUL_DATE!$B$2</f>
        <v>325.53846153846155</v>
      </c>
      <c r="R64" s="19">
        <f>P64/Q64-1</f>
        <v>0.29631379962192805</v>
      </c>
      <c r="S64" s="10">
        <f>+Resultats!$J$52</f>
        <v>418</v>
      </c>
      <c r="T64" s="10">
        <f>+Resultats!$N$52</f>
        <v>778</v>
      </c>
    </row>
    <row r="65" spans="1:20" ht="17.25" customHeight="1" x14ac:dyDescent="0.25">
      <c r="A65" s="17" t="s">
        <v>373</v>
      </c>
      <c r="B65" s="18">
        <f>SUM(B62:B64)</f>
        <v>100360</v>
      </c>
      <c r="C65" s="18">
        <f>SUM(C62:C64)</f>
        <v>60566.076923076922</v>
      </c>
      <c r="D65" s="19">
        <f>B65/C65-1</f>
        <v>0.65703319578489605</v>
      </c>
      <c r="E65" s="18">
        <f>SUM(E62:E64)</f>
        <v>68466</v>
      </c>
      <c r="F65" s="18">
        <f>SUM(F62:F64)</f>
        <v>3495</v>
      </c>
      <c r="G65" s="19">
        <f>F65/B65</f>
        <v>3.4824631327222001E-2</v>
      </c>
      <c r="H65" s="19">
        <f>(SUM(Resultats!$J$50:$J$52)+SUM(Resultats!$J$44:$J$45))/(SUM(Resultats!$N$50:N$52)+SUM(Resultats!$N$44:$N$45))</f>
        <v>0.56091476091476089</v>
      </c>
      <c r="I65" s="18">
        <f>SUM(I62:I64)</f>
        <v>343</v>
      </c>
      <c r="J65" s="21">
        <f>SUM(J62:J64)</f>
        <v>278.65384615384613</v>
      </c>
      <c r="K65" s="18">
        <f>SUM(K62:K64)</f>
        <v>373</v>
      </c>
      <c r="L65" s="21">
        <f>SUM(L62:L64)</f>
        <v>286.61538461538458</v>
      </c>
      <c r="M65" s="22">
        <f>P65/K65</f>
        <v>7.4155495978552279</v>
      </c>
      <c r="N65" s="22">
        <f>B65/K65</f>
        <v>269.06166219839145</v>
      </c>
      <c r="O65" s="22">
        <f>B65/P65</f>
        <v>36.283441793203181</v>
      </c>
      <c r="P65" s="18">
        <f>SUM(P62:P64)</f>
        <v>2766</v>
      </c>
      <c r="Q65" s="18">
        <f>SUM(Q62:Q64)</f>
        <v>1688.7307692307691</v>
      </c>
      <c r="R65" s="19">
        <f>P65/Q65-1</f>
        <v>0.63791650534083422</v>
      </c>
      <c r="S65" s="38">
        <f>SUM(S62:S64)</f>
        <v>2698</v>
      </c>
      <c r="T65" s="38">
        <f>SUM(T62:T64)</f>
        <v>4810</v>
      </c>
    </row>
    <row r="67" spans="1:20" ht="17.25" customHeight="1" x14ac:dyDescent="0.25">
      <c r="A67" s="41" t="s">
        <v>303</v>
      </c>
      <c r="B67" s="18">
        <f>+B56+B60+B65</f>
        <v>340579</v>
      </c>
      <c r="C67" s="18">
        <f>+C56+C60+C65</f>
        <v>226816.26923076925</v>
      </c>
      <c r="D67" s="19">
        <f>B67/C67-1</f>
        <v>0.50156336295914183</v>
      </c>
      <c r="E67" s="18">
        <f>+E56+E60+E65</f>
        <v>256401</v>
      </c>
      <c r="F67" s="18">
        <f>+F56+F60+F65</f>
        <v>8996</v>
      </c>
      <c r="G67" s="19">
        <f>F67/B67</f>
        <v>2.6413842309713751E-2</v>
      </c>
      <c r="H67" s="19">
        <f>SUM(Resultats!$J$41:$J$52)/SUM(Resultats!$N$41:$N$52)</f>
        <v>0.52930941381172381</v>
      </c>
      <c r="I67" s="18">
        <f>+I56+I60+I65</f>
        <v>1298</v>
      </c>
      <c r="J67" s="21">
        <f>+J56+J60+J65</f>
        <v>1079.2307692307693</v>
      </c>
      <c r="K67" s="18">
        <f>+K56+K60+K65</f>
        <v>1292</v>
      </c>
      <c r="L67" s="21">
        <f>+L56+L60+L65</f>
        <v>1040.3076923076922</v>
      </c>
      <c r="M67" s="22">
        <f>P67/K67</f>
        <v>6.9489164086687305</v>
      </c>
      <c r="N67" s="22">
        <f>B67/K67</f>
        <v>263.60603715170276</v>
      </c>
      <c r="O67" s="22">
        <f>B67/P67</f>
        <v>37.93484072176431</v>
      </c>
      <c r="P67" s="18">
        <f>+P56+P60+P65</f>
        <v>8978</v>
      </c>
      <c r="Q67" s="18">
        <f>+Q56+Q60+Q65</f>
        <v>6175.5</v>
      </c>
      <c r="R67" s="19">
        <f>P67/Q67-1</f>
        <v>0.45380940814508941</v>
      </c>
      <c r="S67" s="10">
        <f>+S56+S60+S65</f>
        <v>8822</v>
      </c>
      <c r="T67" s="10">
        <f>+T56+T60+T65</f>
        <v>16667</v>
      </c>
    </row>
    <row r="68" spans="1:20" ht="17.25" customHeight="1" x14ac:dyDescent="0.25">
      <c r="S68" s="10"/>
      <c r="T68" s="10"/>
    </row>
    <row r="69" spans="1:20" ht="17.25" customHeight="1" x14ac:dyDescent="0.25">
      <c r="A69" s="23" t="s">
        <v>384</v>
      </c>
      <c r="B69" s="18">
        <f>+Resultats!$AG$99+Resultats!$AQ$99+Resultats!$AR$99+Resultats!$AS$99+Resultats!$AT$99</f>
        <v>36060</v>
      </c>
      <c r="C69" s="18">
        <f>E69/CALCUL_DATE!$B$1*CALCUL_DATE!$B$2</f>
        <v>31818.73076923077</v>
      </c>
      <c r="D69" s="19">
        <f>B69/C69-1</f>
        <v>0.13329473326668984</v>
      </c>
      <c r="E69" s="18">
        <f>+Resultats_N1!$AG$99+Resultats_N1!$AQ$99+Resultats_N1!$AR$99+Resultats_N1!$AS$99+Resultats_N1!$AT$99</f>
        <v>35969</v>
      </c>
      <c r="F69" s="18">
        <f>Resultats!$T$99</f>
        <v>124</v>
      </c>
      <c r="G69" s="19">
        <f>F69/B69</f>
        <v>3.4387132556849697E-3</v>
      </c>
      <c r="H69" s="19">
        <f>(Resultats!$J$99)/(Resultats!$N$99)</f>
        <v>0.72994440031771246</v>
      </c>
      <c r="I69" s="18">
        <f>Resultats!$AP$99</f>
        <v>110</v>
      </c>
      <c r="J69" s="21">
        <f>Resultats_N1!$AP$99/CALCUL_DATE!$B$1*CALCUL_DATE!$B$2</f>
        <v>130.03846153846155</v>
      </c>
      <c r="K69" s="18">
        <f>Resultats!$AD$99</f>
        <v>116</v>
      </c>
      <c r="L69" s="21">
        <f>Resultats_N1!$AD$99/CALCUL_DATE!$B$1*CALCUL_DATE!$B$2</f>
        <v>126.5</v>
      </c>
      <c r="M69" s="22">
        <f>P69/K69</f>
        <v>7.9482758620689653</v>
      </c>
      <c r="N69" s="22">
        <f>B69/K69</f>
        <v>310.86206896551727</v>
      </c>
      <c r="O69" s="22">
        <f>B69/P69</f>
        <v>39.110629067245121</v>
      </c>
      <c r="P69" s="18">
        <f>+Resultats!$AJ$99</f>
        <v>922</v>
      </c>
      <c r="Q69" s="18">
        <f>+Resultats_N1!$AJ$99/CALCUL_DATE!$B$1*CALCUL_DATE!$B$2</f>
        <v>918.23076923076917</v>
      </c>
      <c r="R69" s="19">
        <f>P69/Q69-1</f>
        <v>4.1048839741979481E-3</v>
      </c>
      <c r="S69" s="10">
        <f>+Resultats!$J$99</f>
        <v>919</v>
      </c>
      <c r="T69" s="10">
        <f>+Resultats!$N$99</f>
        <v>1259</v>
      </c>
    </row>
    <row r="71" spans="1:20" ht="17.25" customHeight="1" x14ac:dyDescent="0.25">
      <c r="A71" s="17" t="s">
        <v>292</v>
      </c>
      <c r="B71" s="18">
        <f>+B10+B25+B40+B52+B67+B69</f>
        <v>1903905</v>
      </c>
      <c r="C71" s="18">
        <f>+C10+C25+C40+C52+C67+C69</f>
        <v>1276116.9615384617</v>
      </c>
      <c r="D71" s="19">
        <f>B71/C71-1</f>
        <v>0.49195180174134601</v>
      </c>
      <c r="E71" s="18">
        <f>+E10+E25+E40+E52+E67+E69</f>
        <v>1442567</v>
      </c>
      <c r="F71" s="18">
        <f>+F10+F25+F40+F52+F67+F69</f>
        <v>37188</v>
      </c>
      <c r="G71" s="19">
        <f>F71/B71</f>
        <v>1.9532487177669054E-2</v>
      </c>
      <c r="H71" s="19">
        <f>SUM(Resultats!$J2:J52)/SUM(Resultats!$N2:N52)</f>
        <v>0.60588617026390423</v>
      </c>
      <c r="I71" s="18">
        <f>+I10+I25+I40+I52+I67+I69</f>
        <v>6296</v>
      </c>
      <c r="J71" s="18">
        <f>+J10+J25+J40+J52+J67+J69</f>
        <v>5290.0769230769238</v>
      </c>
      <c r="K71" s="18">
        <f>+K10+K25+K40+K52+K67+K69</f>
        <v>6270</v>
      </c>
      <c r="L71" s="18">
        <f>+L10+L25+L40+L52+L67+L69</f>
        <v>4990.2692307692305</v>
      </c>
      <c r="M71" s="22">
        <f>P71/K71</f>
        <v>8.2937799043062199</v>
      </c>
      <c r="N71" s="22">
        <f>B71/K71</f>
        <v>303.65311004784689</v>
      </c>
      <c r="O71" s="22">
        <f>B71/P71</f>
        <v>36.612149532710283</v>
      </c>
      <c r="P71" s="18">
        <f>+P10+P25+P40+P52+P67+P69</f>
        <v>52002</v>
      </c>
      <c r="Q71" s="18">
        <f>+Q10+Q25+Q40+Q52+Q67+Q69</f>
        <v>38787</v>
      </c>
      <c r="R71" s="19">
        <f>P71/Q71-1</f>
        <v>0.3407069378915617</v>
      </c>
      <c r="S71" s="10">
        <f>+S10+S25+S40+S52+S67</f>
        <v>49244</v>
      </c>
      <c r="T71" s="10">
        <f>+T10+T25+T40+T52+T67</f>
        <v>81452</v>
      </c>
    </row>
  </sheetData>
  <pageMargins left="0.23622047244094491" right="0.23622047244094491" top="0.74803149606299213" bottom="0.74803149606299213" header="0.31496062992125984" footer="0.31496062992125984"/>
  <pageSetup paperSize="9" scale="68" fitToHeight="0" orientation="landscape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AA71"/>
  <sheetViews>
    <sheetView zoomScale="70" zoomScaleNormal="70" workbookViewId="0"/>
  </sheetViews>
  <sheetFormatPr baseColWidth="10" defaultRowHeight="15" x14ac:dyDescent="0.25"/>
  <cols>
    <col min="1" max="1" width="27.140625" style="12" bestFit="1" customWidth="1"/>
    <col min="2" max="2" width="12.5703125" style="12" customWidth="1"/>
    <col min="3" max="3" width="13" style="12" customWidth="1"/>
    <col min="4" max="4" width="14.42578125" style="13" bestFit="1" customWidth="1"/>
    <col min="5" max="5" width="13.42578125" style="12" bestFit="1" customWidth="1"/>
    <col min="6" max="6" width="8.85546875" style="12" bestFit="1" customWidth="1"/>
    <col min="7" max="7" width="13" style="12" bestFit="1" customWidth="1"/>
    <col min="8" max="8" width="11.42578125" style="13" customWidth="1"/>
    <col min="9" max="9" width="7.42578125" style="12" bestFit="1" customWidth="1"/>
    <col min="10" max="10" width="10.140625" style="15" bestFit="1" customWidth="1"/>
    <col min="11" max="11" width="7.42578125" style="12" bestFit="1" customWidth="1"/>
    <col min="12" max="12" width="8.85546875" style="15" bestFit="1" customWidth="1"/>
    <col min="13" max="13" width="9.5703125" style="12" bestFit="1" customWidth="1"/>
    <col min="14" max="14" width="10.5703125" style="12" customWidth="1"/>
    <col min="15" max="15" width="10.28515625" style="12" customWidth="1"/>
    <col min="16" max="16" width="7.85546875" style="12" bestFit="1" customWidth="1"/>
    <col min="17" max="17" width="11.140625" style="12" bestFit="1" customWidth="1"/>
    <col min="18" max="18" width="11.5703125" style="12" customWidth="1"/>
    <col min="19" max="20" width="23.42578125" style="12" hidden="1" customWidth="1"/>
    <col min="21" max="21" width="24.85546875" style="12" bestFit="1" customWidth="1"/>
    <col min="22" max="16384" width="11.42578125" style="12"/>
  </cols>
  <sheetData>
    <row r="1" spans="1:27" ht="69" customHeight="1" x14ac:dyDescent="0.35">
      <c r="A1" s="26" t="s">
        <v>396</v>
      </c>
      <c r="B1" s="29" t="s">
        <v>389</v>
      </c>
      <c r="C1" s="29" t="s">
        <v>260</v>
      </c>
      <c r="D1" s="30" t="s">
        <v>261</v>
      </c>
      <c r="E1" s="29" t="s">
        <v>262</v>
      </c>
      <c r="F1" s="29" t="s">
        <v>254</v>
      </c>
      <c r="G1" s="29" t="s">
        <v>263</v>
      </c>
      <c r="H1" s="28" t="s">
        <v>264</v>
      </c>
      <c r="I1" s="27" t="s">
        <v>255</v>
      </c>
      <c r="J1" s="49" t="s">
        <v>265</v>
      </c>
      <c r="K1" s="27" t="s">
        <v>256</v>
      </c>
      <c r="L1" s="49" t="s">
        <v>266</v>
      </c>
      <c r="M1" s="27" t="s">
        <v>257</v>
      </c>
      <c r="N1" s="29" t="s">
        <v>258</v>
      </c>
      <c r="O1" s="29" t="s">
        <v>259</v>
      </c>
      <c r="P1" s="27" t="s">
        <v>267</v>
      </c>
      <c r="Q1" s="27" t="s">
        <v>268</v>
      </c>
      <c r="R1" s="27" t="s">
        <v>269</v>
      </c>
      <c r="S1" t="s">
        <v>8</v>
      </c>
      <c r="T1" t="s">
        <v>13</v>
      </c>
      <c r="V1" s="11"/>
      <c r="W1" s="11"/>
      <c r="X1" s="11"/>
      <c r="Y1" s="11"/>
      <c r="Z1" s="11"/>
      <c r="AA1" s="11"/>
    </row>
    <row r="2" spans="1:27" ht="17.25" customHeight="1" x14ac:dyDescent="0.25">
      <c r="A2" s="23" t="s">
        <v>65</v>
      </c>
      <c r="B2" s="18">
        <f>+Resultats!$AG$53+Resultats!$AQ$53+Resultats!$AR$53+Resultats!$AS$53+Resultats!$AT$53</f>
        <v>49790</v>
      </c>
      <c r="C2" s="18">
        <f>E2/CALCUL_DATE!$B$1*CALCUL_DATE!$B$2</f>
        <v>60292.730769230773</v>
      </c>
      <c r="D2" s="19">
        <f>B2/C2-1</f>
        <v>-0.17419563909668923</v>
      </c>
      <c r="E2" s="18">
        <f>+Resultats_N1!$AG$53+Resultats_N1!$AQ$53+Resultats_N1!$AR$53+Resultats_N1!$AS$53+Resultats_N1!$AT$53</f>
        <v>68157</v>
      </c>
      <c r="F2" s="18">
        <f>Resultats!$T$53</f>
        <v>0</v>
      </c>
      <c r="G2" s="19">
        <f>F2/B2</f>
        <v>0</v>
      </c>
      <c r="H2" s="20">
        <f>(Resultats!$J$53)/(Resultats!$N$53)</f>
        <v>0.53715579026782345</v>
      </c>
      <c r="I2" s="17">
        <f>Resultats!$AP$53</f>
        <v>137</v>
      </c>
      <c r="J2" s="21">
        <f>Resultats_N1!$AP$53/CALCUL_DATE!$B$1*CALCUL_DATE!$B$2</f>
        <v>138</v>
      </c>
      <c r="K2" s="17">
        <f>Resultats!$AD$53</f>
        <v>137</v>
      </c>
      <c r="L2" s="21">
        <f>Resultats_N1!$AD$53/CALCUL_DATE!$B$1*CALCUL_DATE!$B$2</f>
        <v>156.57692307692307</v>
      </c>
      <c r="M2" s="22">
        <f>P2/K2</f>
        <v>10.394160583941606</v>
      </c>
      <c r="N2" s="22">
        <f>B2/K2</f>
        <v>363.43065693430657</v>
      </c>
      <c r="O2" s="22">
        <f>B2/P2</f>
        <v>34.96488764044944</v>
      </c>
      <c r="P2" s="18">
        <f>+Resultats!$AJ$53</f>
        <v>1424</v>
      </c>
      <c r="Q2" s="18">
        <f>+Resultats_N1!$AJ$53/CALCUL_DATE!$B$1*CALCUL_DATE!$B$2</f>
        <v>1748</v>
      </c>
      <c r="R2" s="19">
        <f>P2/Q2-1</f>
        <v>-0.18535469107551483</v>
      </c>
      <c r="S2" s="10">
        <f>+Resultats!$J$53</f>
        <v>1424</v>
      </c>
      <c r="T2" s="10">
        <f>+Resultats!$N$53</f>
        <v>2651</v>
      </c>
      <c r="U2" s="13"/>
    </row>
    <row r="3" spans="1:27" ht="17.25" customHeight="1" x14ac:dyDescent="0.25">
      <c r="A3" s="23" t="s">
        <v>112</v>
      </c>
      <c r="B3" s="18">
        <f>+Resultats!$AG$54+Resultats!$AQ$54+Resultats!$AR$54+Resultats!$AS$54+Resultats!$AT$54</f>
        <v>1120</v>
      </c>
      <c r="C3" s="18">
        <f>E3/CALCUL_DATE!$B$1*CALCUL_DATE!$B$2</f>
        <v>1151.7692307692309</v>
      </c>
      <c r="D3" s="19">
        <f>B3/C3-1</f>
        <v>-2.7582982702197389E-2</v>
      </c>
      <c r="E3" s="18">
        <f>+Resultats_N1!$AG$54+Resultats_N1!$AQ$54+Resultats_N1!$AR$54+Resultats_N1!$AS$54+Resultats_N1!$AT$54</f>
        <v>1302</v>
      </c>
      <c r="F3" s="18">
        <f>Resultats!$T$54</f>
        <v>0</v>
      </c>
      <c r="G3" s="19">
        <f>F3/B3</f>
        <v>0</v>
      </c>
      <c r="H3" s="20">
        <f>(Resultats!$J$54)/(Resultats!$N$54)</f>
        <v>0.30701754385964913</v>
      </c>
      <c r="I3" s="17">
        <f>Resultats!$AP$54</f>
        <v>3</v>
      </c>
      <c r="J3" s="21">
        <f>Resultats_N1!$AP$54/CALCUL_DATE!$B$1*CALCUL_DATE!$B$2</f>
        <v>8.8461538461538467</v>
      </c>
      <c r="K3" s="17">
        <f>Resultats!$AD$54</f>
        <v>2</v>
      </c>
      <c r="L3" s="21">
        <f>Resultats_N1!$AD$54/CALCUL_DATE!$B$1*CALCUL_DATE!$B$2</f>
        <v>7.0769230769230775</v>
      </c>
      <c r="M3" s="22">
        <f>P3/K3</f>
        <v>17.5</v>
      </c>
      <c r="N3" s="22">
        <f>B3/K3</f>
        <v>560</v>
      </c>
      <c r="O3" s="22">
        <f>B3/P3</f>
        <v>32</v>
      </c>
      <c r="P3" s="18">
        <f>+Resultats!$AJ$54</f>
        <v>35</v>
      </c>
      <c r="Q3" s="18">
        <f>+Resultats_N1!$AJ$54/CALCUL_DATE!$B$1*CALCUL_DATE!$B$2</f>
        <v>30.961538461538463</v>
      </c>
      <c r="R3" s="19">
        <f>P3/Q3-1</f>
        <v>0.13043478260869557</v>
      </c>
      <c r="S3" s="10">
        <f>+Resultats!$J$54</f>
        <v>35</v>
      </c>
      <c r="T3" s="10">
        <f>+Resultats!$N$54</f>
        <v>114</v>
      </c>
    </row>
    <row r="4" spans="1:27" ht="17.25" customHeight="1" x14ac:dyDescent="0.25">
      <c r="A4" s="23" t="s">
        <v>106</v>
      </c>
      <c r="B4" s="18">
        <f>+Resultats!$AG$55+Resultats!$AQ$55+Resultats!$AR$55+Resultats!$AS$55+Resultats!$AT$55</f>
        <v>136</v>
      </c>
      <c r="C4" s="18">
        <f>E4/CALCUL_DATE!$B$1*CALCUL_DATE!$B$2</f>
        <v>346.76923076923077</v>
      </c>
      <c r="D4" s="19">
        <f>B4/C4-1</f>
        <v>-0.60780834072759538</v>
      </c>
      <c r="E4" s="18">
        <f>+Resultats_N1!$AG$55+Resultats_N1!$AQ$55+Resultats_N1!$AR$55+Resultats_N1!$AS$55+Resultats_N1!$AT$55</f>
        <v>392</v>
      </c>
      <c r="F4" s="18">
        <f>Resultats!$T$55</f>
        <v>0</v>
      </c>
      <c r="G4" s="19">
        <f>F4/B4</f>
        <v>0</v>
      </c>
      <c r="H4" s="20">
        <f>(Resultats!$J$55)/(Resultats!$N$55)</f>
        <v>2.4691358024691357E-2</v>
      </c>
      <c r="I4" s="17">
        <f>Resultats!$AP$55</f>
        <v>2</v>
      </c>
      <c r="J4" s="21">
        <f>Resultats_N1!$AP$55/CALCUL_DATE!$B$1*CALCUL_DATE!$B$2</f>
        <v>2.6538461538461542</v>
      </c>
      <c r="K4" s="17">
        <f>Resultats!$AD$55</f>
        <v>2</v>
      </c>
      <c r="L4" s="21">
        <f>Resultats_N1!$AD$55/CALCUL_DATE!$B$1*CALCUL_DATE!$B$2</f>
        <v>1.7692307692307694</v>
      </c>
      <c r="M4" s="22">
        <f>P4/K4</f>
        <v>1</v>
      </c>
      <c r="N4" s="22">
        <f>B4/K4</f>
        <v>68</v>
      </c>
      <c r="O4" s="22">
        <f>B4/P4</f>
        <v>68</v>
      </c>
      <c r="P4" s="18">
        <f>+Resultats!$AJ$55</f>
        <v>2</v>
      </c>
      <c r="Q4" s="18">
        <f>+Resultats_N1!$AJ$55/CALCUL_DATE!$B$1*CALCUL_DATE!$B$2</f>
        <v>6.1923076923076916</v>
      </c>
      <c r="R4" s="19">
        <f>P4/Q4-1</f>
        <v>-0.67701863354037262</v>
      </c>
      <c r="S4" s="10">
        <f>+Resultats!$J$55</f>
        <v>2</v>
      </c>
      <c r="T4" s="10">
        <f>+Resultats!$N$55</f>
        <v>81</v>
      </c>
    </row>
    <row r="5" spans="1:27" ht="17.25" customHeight="1" x14ac:dyDescent="0.25">
      <c r="A5" s="17" t="s">
        <v>299</v>
      </c>
      <c r="B5" s="18">
        <f>SUM(B2:B4)</f>
        <v>51046</v>
      </c>
      <c r="C5" s="18">
        <f>SUM(C2:C4)</f>
        <v>61791.269230769241</v>
      </c>
      <c r="D5" s="19">
        <f>B5/C5-1</f>
        <v>-0.17389623751924144</v>
      </c>
      <c r="E5" s="18">
        <f>SUM(E2:E4)</f>
        <v>69851</v>
      </c>
      <c r="F5" s="18">
        <f>SUM(F2:F4)</f>
        <v>0</v>
      </c>
      <c r="G5" s="19">
        <f>F5/B5</f>
        <v>0</v>
      </c>
      <c r="H5" s="19">
        <f>SUM(Resultats!$J$53:$J$55)/SUM(Resultats!$N$53:$N$55)</f>
        <v>0.51335207308503161</v>
      </c>
      <c r="I5" s="18">
        <f>SUM(I2:I4)</f>
        <v>142</v>
      </c>
      <c r="J5" s="21">
        <f>SUM(J2:J4)</f>
        <v>149.5</v>
      </c>
      <c r="K5" s="18">
        <f>SUM(K2:K4)</f>
        <v>141</v>
      </c>
      <c r="L5" s="21">
        <f>SUM(L2:L4)</f>
        <v>165.42307692307691</v>
      </c>
      <c r="M5" s="22">
        <f>P5/K5</f>
        <v>10.361702127659575</v>
      </c>
      <c r="N5" s="22">
        <f>B5/K5</f>
        <v>362.02836879432624</v>
      </c>
      <c r="O5" s="22">
        <f>B5/P5</f>
        <v>34.939082819986311</v>
      </c>
      <c r="P5" s="18">
        <f>SUM(P2:P4)</f>
        <v>1461</v>
      </c>
      <c r="Q5" s="18">
        <f>SUM(Q2:Q4)</f>
        <v>1785.1538461538462</v>
      </c>
      <c r="R5" s="19">
        <f>P5/Q5-1</f>
        <v>-0.18158314301719314</v>
      </c>
      <c r="S5" s="10">
        <f>SUM(S2:S4)</f>
        <v>1461</v>
      </c>
      <c r="T5" s="10">
        <f>SUM(T2:T4)</f>
        <v>2846</v>
      </c>
    </row>
    <row r="7" spans="1:27" ht="17.25" customHeight="1" x14ac:dyDescent="0.25">
      <c r="A7" s="23" t="s">
        <v>69</v>
      </c>
      <c r="B7" s="18">
        <f>+Resultats!$AG$58+Resultats!$AQ$58+Resultats!$AR$58+Resultats!$AS$58+Resultats!$AT$58</f>
        <v>15211</v>
      </c>
      <c r="C7" s="18">
        <f>E7/CALCUL_DATE!$B$1*CALCUL_DATE!$B$2</f>
        <v>14140.576923076922</v>
      </c>
      <c r="D7" s="19">
        <f>B7/C7-1</f>
        <v>7.5698684908406033E-2</v>
      </c>
      <c r="E7" s="18">
        <f>+Resultats_N1!$AG$58+Resultats_N1!$AQ$58+Resultats_N1!$AR$58+Resultats_N1!$AS$58+Resultats_N1!$AT$58</f>
        <v>15985</v>
      </c>
      <c r="F7" s="18">
        <f>Resultats!$T$58</f>
        <v>0</v>
      </c>
      <c r="G7" s="19">
        <f>F7/B7</f>
        <v>0</v>
      </c>
      <c r="H7" s="20">
        <f>(Resultats!$J$58)/(Resultats!$N$58)</f>
        <v>0.56814159292035393</v>
      </c>
      <c r="I7" s="17">
        <f>Resultats!$AP$58</f>
        <v>51</v>
      </c>
      <c r="J7" s="21">
        <f>Resultats_N1!$AP$58/CALCUL_DATE!$B$1*CALCUL_DATE!$B$2</f>
        <v>46.88461538461538</v>
      </c>
      <c r="K7" s="17">
        <f>Resultats!$AD$58</f>
        <v>54</v>
      </c>
      <c r="L7" s="21">
        <f>Resultats_N1!$AD$58/CALCUL_DATE!$B$1*CALCUL_DATE!$B$2</f>
        <v>48.653846153846153</v>
      </c>
      <c r="M7" s="22">
        <f>P7/K7</f>
        <v>5.9444444444444446</v>
      </c>
      <c r="N7" s="22">
        <f>B7/K7</f>
        <v>281.68518518518516</v>
      </c>
      <c r="O7" s="22">
        <f>B7/P7</f>
        <v>47.386292834890966</v>
      </c>
      <c r="P7" s="18">
        <f>+Resultats!$AJ$58</f>
        <v>321</v>
      </c>
      <c r="Q7" s="18">
        <f>+Resultats_N1!$AJ$58/CALCUL_DATE!$B$1*CALCUL_DATE!$B$2</f>
        <v>260.07692307692309</v>
      </c>
      <c r="R7" s="19">
        <f>P7/Q7-1</f>
        <v>0.23425022182786148</v>
      </c>
      <c r="S7" s="10">
        <f>+Resultats!$J$58</f>
        <v>321</v>
      </c>
      <c r="T7" s="10">
        <f>+Resultats!$N$58</f>
        <v>565</v>
      </c>
    </row>
    <row r="8" spans="1:27" ht="17.25" customHeight="1" x14ac:dyDescent="0.25">
      <c r="A8" s="23" t="s">
        <v>73</v>
      </c>
      <c r="B8" s="18">
        <f>+Resultats!$AG$59+Resultats!$AQ$59+Resultats!$AR$59+Resultats!$AS$59+Resultats!$AT$59</f>
        <v>31650</v>
      </c>
      <c r="C8" s="18">
        <f>E8/CALCUL_DATE!$B$1*CALCUL_DATE!$B$2</f>
        <v>20658.423076923078</v>
      </c>
      <c r="D8" s="19">
        <f>B8/C8-1</f>
        <v>0.53206272725410941</v>
      </c>
      <c r="E8" s="18">
        <f>+Resultats_N1!$AG$59+Resultats_N1!$AQ$59+Resultats_N1!$AR$59+Resultats_N1!$AS$59+Resultats_N1!$AT$59</f>
        <v>23353</v>
      </c>
      <c r="F8" s="18">
        <f>Resultats!$T$59</f>
        <v>0</v>
      </c>
      <c r="G8" s="19">
        <f>F8/B8</f>
        <v>0</v>
      </c>
      <c r="H8" s="20">
        <f>(Resultats!$J$59)/(Resultats!$N$59)</f>
        <v>0.43920595533498757</v>
      </c>
      <c r="I8" s="17">
        <f>Resultats!$AP$59</f>
        <v>111</v>
      </c>
      <c r="J8" s="21">
        <f>Resultats_N1!$AP$59/CALCUL_DATE!$B$1*CALCUL_DATE!$B$2</f>
        <v>83.15384615384616</v>
      </c>
      <c r="K8" s="17">
        <f>Resultats!$AD$59</f>
        <v>111</v>
      </c>
      <c r="L8" s="21">
        <f>Resultats_N1!$AD$59/CALCUL_DATE!$B$1*CALCUL_DATE!$B$2</f>
        <v>77.84615384615384</v>
      </c>
      <c r="M8" s="22">
        <f>P8/K8</f>
        <v>4.7837837837837842</v>
      </c>
      <c r="N8" s="22">
        <f>B8/K8</f>
        <v>285.13513513513516</v>
      </c>
      <c r="O8" s="22">
        <f>B8/P8</f>
        <v>59.604519774011301</v>
      </c>
      <c r="P8" s="18">
        <f>+Resultats!$AJ$59</f>
        <v>531</v>
      </c>
      <c r="Q8" s="18">
        <f>+Resultats_N1!$AJ$59/CALCUL_DATE!$B$1*CALCUL_DATE!$B$2</f>
        <v>422.84615384615381</v>
      </c>
      <c r="R8" s="19">
        <f>P8/Q8-1</f>
        <v>0.2557758777515009</v>
      </c>
      <c r="S8" s="10">
        <f>+Resultats!$J$59</f>
        <v>531</v>
      </c>
      <c r="T8" s="10">
        <f>+Resultats!$N$59</f>
        <v>1209</v>
      </c>
    </row>
    <row r="10" spans="1:27" ht="17.25" customHeight="1" x14ac:dyDescent="0.25">
      <c r="A10" s="41" t="s">
        <v>203</v>
      </c>
      <c r="B10" s="18">
        <f>+B5+B7+B8</f>
        <v>97907</v>
      </c>
      <c r="C10" s="18">
        <f>+C5+C7+C8</f>
        <v>96590.269230769234</v>
      </c>
      <c r="D10" s="19">
        <f>B10/C10-1</f>
        <v>1.3632126504222519E-2</v>
      </c>
      <c r="E10" s="18">
        <f>+E5+E7+E8</f>
        <v>109189</v>
      </c>
      <c r="F10" s="18">
        <f>+F5+F7+F8</f>
        <v>0</v>
      </c>
      <c r="G10" s="19">
        <f>F10/B10</f>
        <v>0</v>
      </c>
      <c r="H10" s="19">
        <f>(SUM(Resultats!$J$53:$J$55)+SUM(Resultats!$J$58:$J$59))/(SUM(Resultats!$N$53:$N$55)+SUM(Resultats!$N$58:$N$59))</f>
        <v>0.50064935064935068</v>
      </c>
      <c r="I10" s="18">
        <f>+I5+I7+I8</f>
        <v>304</v>
      </c>
      <c r="J10" s="21">
        <f>+J5+J7+J8</f>
        <v>279.53846153846155</v>
      </c>
      <c r="K10" s="18">
        <f t="shared" ref="K10" si="0">+K5+K7+K8</f>
        <v>306</v>
      </c>
      <c r="L10" s="21">
        <f t="shared" ref="L10" si="1">+L5+L7+L8</f>
        <v>291.92307692307691</v>
      </c>
      <c r="M10" s="22">
        <f>P10/K10</f>
        <v>7.5588235294117645</v>
      </c>
      <c r="N10" s="22">
        <f>B10/K10</f>
        <v>319.9575163398693</v>
      </c>
      <c r="O10" s="22">
        <f>B10/P10</f>
        <v>42.329009943795938</v>
      </c>
      <c r="P10" s="18">
        <f>+P5+P7+P8</f>
        <v>2313</v>
      </c>
      <c r="Q10" s="18">
        <f>+Q5+Q7+Q8</f>
        <v>2468.0769230769229</v>
      </c>
      <c r="R10" s="19">
        <f>P10/Q10-1</f>
        <v>-6.2833099579242546E-2</v>
      </c>
      <c r="S10" s="10">
        <f>+S5+S23+S7+S8</f>
        <v>2784</v>
      </c>
      <c r="T10" s="10">
        <f>+T5+T23+T7+T8</f>
        <v>5361</v>
      </c>
    </row>
    <row r="12" spans="1:27" ht="17.25" customHeight="1" x14ac:dyDescent="0.25">
      <c r="A12" s="23" t="s">
        <v>297</v>
      </c>
      <c r="B12" s="18">
        <f>+Resultats!$AG$60+Resultats!$AQ$60+Resultats!$AR$60+Resultats!$AS$60+Resultats!$AT$60</f>
        <v>205015</v>
      </c>
      <c r="C12" s="18">
        <f>E12/CALCUL_DATE!$B$1*CALCUL_DATE!$B$2</f>
        <v>159590.80769230769</v>
      </c>
      <c r="D12" s="19">
        <f>B12/C12-1</f>
        <v>0.28462912723187994</v>
      </c>
      <c r="E12" s="18">
        <f>+Resultats_N1!$AG$60+Resultats_N1!$AQ$60+Resultats_N1!$AR$60+Resultats_N1!$AS$60+Resultats_N1!$AT$60</f>
        <v>180407</v>
      </c>
      <c r="F12" s="18">
        <f>Resultats!$T$60</f>
        <v>0</v>
      </c>
      <c r="G12" s="19">
        <f>F12/B12</f>
        <v>0</v>
      </c>
      <c r="H12" s="20">
        <f>(Resultats!$J$60)/(Resultats!$N$60)</f>
        <v>0.78319043907508445</v>
      </c>
      <c r="I12" s="17">
        <f>Resultats!$AP$60</f>
        <v>348</v>
      </c>
      <c r="J12" s="21">
        <f>Resultats_N1!$AP$60/CALCUL_DATE!$B$1*CALCUL_DATE!$B$2</f>
        <v>309.61538461538464</v>
      </c>
      <c r="K12" s="17">
        <f>Resultats!$AD$60</f>
        <v>393</v>
      </c>
      <c r="L12" s="21">
        <f>Resultats_N1!$AD$60/CALCUL_DATE!$B$1*CALCUL_DATE!$B$2</f>
        <v>337.92307692307691</v>
      </c>
      <c r="M12" s="22">
        <f>P12/K12</f>
        <v>15.340966921119593</v>
      </c>
      <c r="N12" s="22">
        <f>B12/K12</f>
        <v>521.66666666666663</v>
      </c>
      <c r="O12" s="22">
        <f>B12/P12</f>
        <v>34.004810084591142</v>
      </c>
      <c r="P12" s="18">
        <f>+Resultats!$AJ$60</f>
        <v>6029</v>
      </c>
      <c r="Q12" s="18">
        <f>+Resultats_N1!$AJ$60/CALCUL_DATE!$B$1*CALCUL_DATE!$B$2</f>
        <v>5294.4230769230762</v>
      </c>
      <c r="R12" s="19">
        <f>P12/Q12-1</f>
        <v>0.13874541426028864</v>
      </c>
      <c r="S12" s="10">
        <f>+Resultats!$J$60</f>
        <v>6029</v>
      </c>
      <c r="T12" s="10">
        <f>+Resultats!$N$60</f>
        <v>7698</v>
      </c>
    </row>
    <row r="13" spans="1:27" ht="17.25" customHeight="1" x14ac:dyDescent="0.25">
      <c r="A13" s="23" t="s">
        <v>63</v>
      </c>
      <c r="B13" s="18">
        <f>+Resultats!$AG$62+Resultats!$AQ$62+Resultats!$AR$62+Resultats!$AS$62+Resultats!$AT$62</f>
        <v>143741</v>
      </c>
      <c r="C13" s="18">
        <f>E13/CALCUL_DATE!$B$1*CALCUL_DATE!$B$2</f>
        <v>146451.61538461538</v>
      </c>
      <c r="D13" s="19">
        <f>B13/C13-1</f>
        <v>-1.8508606938180128E-2</v>
      </c>
      <c r="E13" s="18">
        <f>+Resultats_N1!$AG$62+Resultats_N1!$AQ$62+Resultats_N1!$AR$62+Resultats_N1!$AS$62+Resultats_N1!$AT$62</f>
        <v>165554</v>
      </c>
      <c r="F13" s="18">
        <f>Resultats!$T$62</f>
        <v>0</v>
      </c>
      <c r="G13" s="19">
        <f>F13/B13</f>
        <v>0</v>
      </c>
      <c r="H13" s="20">
        <f>(Resultats!$J$62)/(Resultats!$N$62)</f>
        <v>0.80543984317569228</v>
      </c>
      <c r="I13" s="17">
        <f>Resultats!$AP$62</f>
        <v>455</v>
      </c>
      <c r="J13" s="21">
        <f>Resultats_N1!$AP$62/CALCUL_DATE!$B$1*CALCUL_DATE!$B$2</f>
        <v>472.38461538461542</v>
      </c>
      <c r="K13" s="17">
        <f>Resultats!$AD$62</f>
        <v>474</v>
      </c>
      <c r="L13" s="21">
        <f>Resultats_N1!$AD$62/CALCUL_DATE!$B$1*CALCUL_DATE!$B$2</f>
        <v>493.61538461538458</v>
      </c>
      <c r="M13" s="22">
        <f>P13/K13</f>
        <v>6.9345991561181437</v>
      </c>
      <c r="N13" s="22">
        <f>B13/K13</f>
        <v>303.25105485232069</v>
      </c>
      <c r="O13" s="22">
        <f>B13/P13</f>
        <v>43.730149072102222</v>
      </c>
      <c r="P13" s="18">
        <f>+Resultats!$AJ$62</f>
        <v>3287</v>
      </c>
      <c r="Q13" s="18">
        <f>+Resultats_N1!$AJ$62/CALCUL_DATE!$B$1*CALCUL_DATE!$B$2</f>
        <v>3796.7692307692305</v>
      </c>
      <c r="R13" s="19">
        <f>P13/Q13-1</f>
        <v>-0.13426394910652772</v>
      </c>
      <c r="S13" s="10">
        <f>+Resultats!$J$62</f>
        <v>3287</v>
      </c>
      <c r="T13" s="10">
        <f>+Resultats!$N$62</f>
        <v>4081</v>
      </c>
    </row>
    <row r="14" spans="1:27" x14ac:dyDescent="0.25">
      <c r="B14" s="10"/>
      <c r="C14" s="10"/>
      <c r="E14" s="10"/>
      <c r="F14" s="10"/>
      <c r="G14" s="13"/>
      <c r="H14" s="14"/>
      <c r="M14" s="16"/>
      <c r="N14" s="16"/>
      <c r="O14" s="16"/>
      <c r="P14" s="10"/>
      <c r="Q14" s="10"/>
      <c r="R14" s="13"/>
      <c r="S14" s="10"/>
      <c r="T14" s="10"/>
    </row>
    <row r="15" spans="1:27" ht="17.25" customHeight="1" x14ac:dyDescent="0.25">
      <c r="A15" s="23" t="s">
        <v>270</v>
      </c>
      <c r="B15" s="18">
        <f>+Resultats!$AG$63+Resultats!$AQ$63+Resultats!$AR$63+Resultats!$AS$63+Resultats!$AT$63</f>
        <v>5990</v>
      </c>
      <c r="C15" s="18">
        <f>E15/CALCUL_DATE!$B$1*CALCUL_DATE!$B$2</f>
        <v>4576.1153846153848</v>
      </c>
      <c r="D15" s="19">
        <f>B15/C15-1</f>
        <v>0.30897049059077641</v>
      </c>
      <c r="E15" s="18">
        <f>+Resultats_N1!$AG$63+Resultats_N1!$AQ$63+Resultats_N1!$AR$63+Resultats_N1!$AS$63+Resultats_N1!$AT$63</f>
        <v>5173</v>
      </c>
      <c r="F15" s="18">
        <f>Resultats!$T$63</f>
        <v>0</v>
      </c>
      <c r="G15" s="19">
        <f>F15/B15</f>
        <v>0</v>
      </c>
      <c r="H15" s="20">
        <f>(Resultats!$J$63)/(Resultats!$N$63)</f>
        <v>0.48936170212765956</v>
      </c>
      <c r="I15" s="17">
        <f>Resultats!$AP$63</f>
        <v>12</v>
      </c>
      <c r="J15" s="21">
        <f>Resultats_N1!$AP$63/CALCUL_DATE!$B$1*CALCUL_DATE!$B$2</f>
        <v>28.30769230769231</v>
      </c>
      <c r="K15" s="17">
        <f>Resultats!$AD$63</f>
        <v>15</v>
      </c>
      <c r="L15" s="21">
        <f>Resultats_N1!$AD$63/CALCUL_DATE!$B$1*CALCUL_DATE!$B$2</f>
        <v>27.423076923076923</v>
      </c>
      <c r="M15" s="22">
        <f>P15/K15</f>
        <v>6.1333333333333337</v>
      </c>
      <c r="N15" s="22">
        <f>B15/K15</f>
        <v>399.33333333333331</v>
      </c>
      <c r="O15" s="22">
        <f>B15/P15</f>
        <v>65.108695652173907</v>
      </c>
      <c r="P15" s="18">
        <f>+Resultats!$AJ$63</f>
        <v>92</v>
      </c>
      <c r="Q15" s="18">
        <f>+Resultats_N1!$AJ$63/CALCUL_DATE!$B$1*CALCUL_DATE!$B$2</f>
        <v>68.115384615384613</v>
      </c>
      <c r="R15" s="19">
        <f>P15/Q15-1</f>
        <v>0.35064935064935066</v>
      </c>
      <c r="S15" s="10">
        <f>+Resultats!$J$63</f>
        <v>92</v>
      </c>
      <c r="T15" s="10">
        <f>+Resultats!$N$63</f>
        <v>188</v>
      </c>
    </row>
    <row r="16" spans="1:27" ht="17.25" customHeight="1" x14ac:dyDescent="0.25">
      <c r="A16" s="23" t="s">
        <v>271</v>
      </c>
      <c r="B16" s="18">
        <f>+Resultats!$AG64+Resultats!$AQ64+Resultats!$AR64+Resultats!$AS64+Resultats!$AT64</f>
        <v>153023</v>
      </c>
      <c r="C16" s="18">
        <f>E16/CALCUL_DATE!$B$1*CALCUL_DATE!$B$2</f>
        <v>132351.73076923078</v>
      </c>
      <c r="D16" s="19">
        <f>B16/C16-1</f>
        <v>0.15618435142953868</v>
      </c>
      <c r="E16" s="18">
        <f>+Resultats_N1!$AG64+Resultats_N1!$AQ64+Resultats_N1!$AR64+Resultats_N1!$AS64+Resultats_N1!$AT64</f>
        <v>149615</v>
      </c>
      <c r="F16" s="18">
        <f>Resultats!$T64</f>
        <v>403</v>
      </c>
      <c r="G16" s="19">
        <f>F16/B16</f>
        <v>2.6335910287995923E-3</v>
      </c>
      <c r="H16" s="20">
        <f>(Resultats!$J64)/(Resultats!$N64)</f>
        <v>0.90090348487021366</v>
      </c>
      <c r="I16" s="17">
        <f>Resultats!$AP64</f>
        <v>337</v>
      </c>
      <c r="J16" s="21">
        <f>Resultats_N1!$AP64/CALCUL_DATE!$B$1*CALCUL_DATE!$B$2</f>
        <v>309.61538461538464</v>
      </c>
      <c r="K16" s="17">
        <f>Resultats!$AD64</f>
        <v>348</v>
      </c>
      <c r="L16" s="21">
        <f>Resultats_N1!$AD64/CALCUL_DATE!$B$1*CALCUL_DATE!$B$2</f>
        <v>334.38461538461536</v>
      </c>
      <c r="M16" s="22">
        <f>P16/K16</f>
        <v>18.137931034482758</v>
      </c>
      <c r="N16" s="22">
        <f>B16/K16</f>
        <v>439.7212643678161</v>
      </c>
      <c r="O16" s="22">
        <f>B16/P16</f>
        <v>24.243187579214194</v>
      </c>
      <c r="P16" s="18">
        <f>+Resultats!$AJ64</f>
        <v>6312</v>
      </c>
      <c r="Q16" s="18">
        <f>+Resultats_N1!$AJ64/CALCUL_DATE!$B$1*CALCUL_DATE!$B$2</f>
        <v>6393.1153846153848</v>
      </c>
      <c r="R16" s="19">
        <f>P16/Q16-1</f>
        <v>-1.2687927518183595E-2</v>
      </c>
      <c r="S16" s="10">
        <f>+Resultats!$J64</f>
        <v>6282</v>
      </c>
      <c r="T16" s="10">
        <f>+Resultats!$N64</f>
        <v>6973</v>
      </c>
    </row>
    <row r="17" spans="1:20" ht="17.25" customHeight="1" x14ac:dyDescent="0.25">
      <c r="A17" s="17" t="s">
        <v>301</v>
      </c>
      <c r="B17" s="18">
        <f>SUM(B15:B16)</f>
        <v>159013</v>
      </c>
      <c r="C17" s="18">
        <f>SUM(C15:C16)</f>
        <v>136927.84615384616</v>
      </c>
      <c r="D17" s="19">
        <f>B17/C17-1</f>
        <v>0.16129044943378368</v>
      </c>
      <c r="E17" s="18">
        <f>SUM(E15:E16)</f>
        <v>154788</v>
      </c>
      <c r="F17" s="18">
        <f>SUM(F15:F16)</f>
        <v>403</v>
      </c>
      <c r="G17" s="19">
        <f>F17/B17</f>
        <v>2.5343839811839282E-3</v>
      </c>
      <c r="H17" s="19">
        <f>SUM(Resultats!$J$63:$J$64)/SUM(Resultats!$N$63:$N$64)</f>
        <v>0.89009914816366431</v>
      </c>
      <c r="I17" s="17">
        <f>SUM(I15:I16)</f>
        <v>349</v>
      </c>
      <c r="J17" s="21">
        <f>SUM(J15:J16)</f>
        <v>337.92307692307696</v>
      </c>
      <c r="K17" s="17">
        <f>SUM(K15:K16)</f>
        <v>363</v>
      </c>
      <c r="L17" s="21">
        <f>SUM(L15:L16)</f>
        <v>361.80769230769226</v>
      </c>
      <c r="M17" s="22">
        <f>P17/K17</f>
        <v>17.641873278236915</v>
      </c>
      <c r="N17" s="22">
        <f>B17/K17</f>
        <v>438.05234159779616</v>
      </c>
      <c r="O17" s="22">
        <f>B17/P17</f>
        <v>24.830262336039976</v>
      </c>
      <c r="P17" s="21">
        <f>SUM(P15:P16)</f>
        <v>6404</v>
      </c>
      <c r="Q17" s="21">
        <f>SUM(Q15:Q16)</f>
        <v>6461.2307692307695</v>
      </c>
      <c r="R17" s="19">
        <f>P17/Q17-1</f>
        <v>-8.8575646459355672E-3</v>
      </c>
      <c r="S17" s="15">
        <f>SUM(S15:S16)</f>
        <v>6374</v>
      </c>
      <c r="T17" s="15">
        <f>SUM(T15:T16)</f>
        <v>7161</v>
      </c>
    </row>
    <row r="18" spans="1:20" x14ac:dyDescent="0.25">
      <c r="B18" s="10"/>
      <c r="C18" s="10"/>
      <c r="E18" s="10"/>
      <c r="F18" s="10"/>
      <c r="G18" s="13"/>
      <c r="H18" s="14"/>
      <c r="M18" s="16"/>
      <c r="N18" s="16"/>
      <c r="O18" s="16"/>
      <c r="P18" s="10"/>
      <c r="Q18" s="10"/>
      <c r="R18" s="13"/>
      <c r="S18" s="10"/>
      <c r="T18" s="10"/>
    </row>
    <row r="19" spans="1:20" ht="17.25" customHeight="1" x14ac:dyDescent="0.25">
      <c r="A19" s="23" t="s">
        <v>104</v>
      </c>
      <c r="B19" s="18">
        <f>+Resultats!$AG$65+Resultats!$AQ$65+Resultats!$AR$65+Resultats!$AS$65+Resultats!$AT$65</f>
        <v>9988</v>
      </c>
      <c r="C19" s="18">
        <f>E19/CALCUL_DATE!$B$1*CALCUL_DATE!$B$2</f>
        <v>13154.23076923077</v>
      </c>
      <c r="D19" s="19">
        <f>B19/C19-1</f>
        <v>-0.24070056431098508</v>
      </c>
      <c r="E19" s="18">
        <f>+Resultats_N1!$AG$65+Resultats_N1!$AQ$65+Resultats_N1!$AR$65+Resultats_N1!$AS$65+Resultats_N1!$AT$65</f>
        <v>14870</v>
      </c>
      <c r="F19" s="18">
        <f>Resultats!$T$65</f>
        <v>0</v>
      </c>
      <c r="G19" s="19">
        <f>F19/B19</f>
        <v>0</v>
      </c>
      <c r="H19" s="20">
        <f>(Resultats!$J$65)/(Resultats!$N$65)</f>
        <v>0.56951871657754005</v>
      </c>
      <c r="I19" s="17">
        <f>Resultats!$AP19</f>
        <v>105</v>
      </c>
      <c r="J19" s="21">
        <f>Resultats_N1!$AP19/CALCUL_DATE!$B$1*CALCUL_DATE!$B$2</f>
        <v>60.153846153846153</v>
      </c>
      <c r="K19" s="17">
        <f>Resultats!$AD$65</f>
        <v>44</v>
      </c>
      <c r="L19" s="21">
        <f>Resultats_N1!$AD$65/CALCUL_DATE!$B$1*CALCUL_DATE!$B$2</f>
        <v>55.730769230769226</v>
      </c>
      <c r="M19" s="22">
        <f>P19/K19</f>
        <v>4.8409090909090908</v>
      </c>
      <c r="N19" s="22">
        <f>B19/K19</f>
        <v>227</v>
      </c>
      <c r="O19" s="22">
        <f>B19/P19</f>
        <v>46.89201877934272</v>
      </c>
      <c r="P19" s="18">
        <f>+Resultats!$AJ$65</f>
        <v>213</v>
      </c>
      <c r="Q19" s="18">
        <f>+Resultats_N1!$AJ$65/CALCUL_DATE!$B$1*CALCUL_DATE!$B$2</f>
        <v>410.46153846153845</v>
      </c>
      <c r="R19" s="19">
        <f>P19/Q19-1</f>
        <v>-0.48107196401799102</v>
      </c>
      <c r="S19" s="10">
        <f>+Resultats!$J$65</f>
        <v>213</v>
      </c>
      <c r="T19" s="10">
        <f>+Resultats!$N$65</f>
        <v>374</v>
      </c>
    </row>
    <row r="21" spans="1:20" ht="17.25" customHeight="1" x14ac:dyDescent="0.25">
      <c r="A21" s="23" t="s">
        <v>61</v>
      </c>
      <c r="B21" s="18">
        <f>+Resultats!$AG$56+Resultats!$AQ$56+Resultats!$AR$56+Resultats!$AS$56+Resultats!$AT$56</f>
        <v>17133</v>
      </c>
      <c r="C21" s="18">
        <f>E21/CALCUL_DATE!$B$1*CALCUL_DATE!$B$2</f>
        <v>14528.038461538463</v>
      </c>
      <c r="D21" s="19">
        <f>B21/C21-1</f>
        <v>0.17930579860164286</v>
      </c>
      <c r="E21" s="18">
        <f>+Resultats_N1!$AG$56+Resultats_N1!$AQ$56+Resultats_N1!$AR$56+Resultats_N1!$AS$56+Resultats_N1!$AT$56</f>
        <v>16423</v>
      </c>
      <c r="F21" s="18">
        <f>Resultats!$T$56</f>
        <v>0</v>
      </c>
      <c r="G21" s="19">
        <f>F21/B21</f>
        <v>0</v>
      </c>
      <c r="H21" s="20">
        <f>(Resultats!$J$56)/(Resultats!$N$56)</f>
        <v>0.74702886247877764</v>
      </c>
      <c r="I21" s="17">
        <f>Resultats!$AP$56</f>
        <v>33</v>
      </c>
      <c r="J21" s="21">
        <f>Resultats_N1!$AP$56/CALCUL_DATE!$B$1*CALCUL_DATE!$B$2</f>
        <v>47.769230769230774</v>
      </c>
      <c r="K21" s="17">
        <f>Resultats!$AD$56</f>
        <v>40</v>
      </c>
      <c r="L21" s="21">
        <f>Resultats_N1!$AD$56/CALCUL_DATE!$B$1*CALCUL_DATE!$B$2</f>
        <v>46.88461538461538</v>
      </c>
      <c r="M21" s="22">
        <f>P21/K21</f>
        <v>11</v>
      </c>
      <c r="N21" s="22">
        <f>B21/K21</f>
        <v>428.32499999999999</v>
      </c>
      <c r="O21" s="22">
        <f>B21/P21</f>
        <v>38.938636363636363</v>
      </c>
      <c r="P21" s="18">
        <f>+Resultats!$AJ$56</f>
        <v>440</v>
      </c>
      <c r="Q21" s="18">
        <f>+Resultats_N1!$AJ$56/CALCUL_DATE!$B$1*CALCUL_DATE!$B$2</f>
        <v>294.57692307692309</v>
      </c>
      <c r="R21" s="19">
        <f>P21/Q21-1</f>
        <v>0.49366758062410221</v>
      </c>
      <c r="S21" s="10">
        <f>+Resultats!$J$56</f>
        <v>440</v>
      </c>
      <c r="T21" s="10">
        <f>+Resultats!$N$56</f>
        <v>589</v>
      </c>
    </row>
    <row r="22" spans="1:20" ht="17.25" customHeight="1" x14ac:dyDescent="0.25">
      <c r="A22" s="23" t="s">
        <v>108</v>
      </c>
      <c r="B22" s="18">
        <f>+Resultats!$AG$57+Resultats!$AQ$57+Resultats!$AR$57+Resultats!$AS$57+Resultats!$AT$57</f>
        <v>2645</v>
      </c>
      <c r="C22" s="18">
        <f>E22/CALCUL_DATE!$B$1*CALCUL_DATE!$B$2</f>
        <v>1380.8846153846155</v>
      </c>
      <c r="D22" s="19">
        <f>B22/C22-1</f>
        <v>0.91543882126841747</v>
      </c>
      <c r="E22" s="18">
        <f>+Resultats_N1!$AG$57+Resultats_N1!$AQ$57+Resultats_N1!$AR$57+Resultats_N1!$AS$57+Resultats_N1!$AT$57</f>
        <v>1561</v>
      </c>
      <c r="F22" s="18">
        <f>Resultats!$T$57</f>
        <v>0</v>
      </c>
      <c r="G22" s="19">
        <f>F22/B22</f>
        <v>0</v>
      </c>
      <c r="H22" s="20">
        <f>(Resultats!$J$57)/(Resultats!$N$57)</f>
        <v>0.20394736842105263</v>
      </c>
      <c r="I22" s="17">
        <f>Resultats!$AP$57</f>
        <v>9</v>
      </c>
      <c r="J22" s="21">
        <f>Resultats_N1!$AP$57/CALCUL_DATE!$B$1*CALCUL_DATE!$B$2</f>
        <v>5.3076923076923084</v>
      </c>
      <c r="K22" s="17">
        <f>Resultats!$AD$57</f>
        <v>9</v>
      </c>
      <c r="L22" s="21">
        <f>Resultats_N1!$AD$57/CALCUL_DATE!$B$1*CALCUL_DATE!$B$2</f>
        <v>4.4230769230769234</v>
      </c>
      <c r="M22" s="22">
        <f>P22/K22</f>
        <v>3.4444444444444446</v>
      </c>
      <c r="N22" s="22">
        <f>B22/K22</f>
        <v>293.88888888888891</v>
      </c>
      <c r="O22" s="22">
        <f>B22/P22</f>
        <v>85.322580645161295</v>
      </c>
      <c r="P22" s="18">
        <f>+Resultats!$AJ$57</f>
        <v>31</v>
      </c>
      <c r="Q22" s="18">
        <f>+Resultats_N1!$AJ$57/CALCUL_DATE!$B$1*CALCUL_DATE!$B$2</f>
        <v>9.7307692307692299</v>
      </c>
      <c r="R22" s="19">
        <f>P22/Q22-1</f>
        <v>2.1857707509881426</v>
      </c>
      <c r="S22" s="10">
        <f>+Resultats!$J$57</f>
        <v>31</v>
      </c>
      <c r="T22" s="10">
        <f>+Resultats!$N$57</f>
        <v>152</v>
      </c>
    </row>
    <row r="23" spans="1:20" ht="17.25" customHeight="1" x14ac:dyDescent="0.25">
      <c r="A23" s="17" t="s">
        <v>300</v>
      </c>
      <c r="B23" s="18">
        <f>SUM(B21:B22)</f>
        <v>19778</v>
      </c>
      <c r="C23" s="18">
        <f>SUM(C21:C22)</f>
        <v>15908.923076923078</v>
      </c>
      <c r="D23" s="19">
        <f>B23/C23-1</f>
        <v>0.24320168652328622</v>
      </c>
      <c r="E23" s="18">
        <f>SUM(E21:E22)</f>
        <v>17984</v>
      </c>
      <c r="F23" s="18">
        <f>SUM(F21:F22)</f>
        <v>0</v>
      </c>
      <c r="G23" s="19">
        <f>F23/B23</f>
        <v>0</v>
      </c>
      <c r="H23" s="19">
        <f>SUM(Resultats!$J$56:$J$57)/SUM(Resultats!$N$56:$N$57)</f>
        <v>0.63562753036437247</v>
      </c>
      <c r="I23" s="18">
        <f>SUM(I21:I22)</f>
        <v>42</v>
      </c>
      <c r="J23" s="21">
        <f>SUM(J21:J22)</f>
        <v>53.07692307692308</v>
      </c>
      <c r="K23" s="18">
        <f>SUM(K21:K22)</f>
        <v>49</v>
      </c>
      <c r="L23" s="21">
        <f>SUM(L21:L22)</f>
        <v>51.307692307692307</v>
      </c>
      <c r="M23" s="22">
        <f>P23/K23</f>
        <v>9.612244897959183</v>
      </c>
      <c r="N23" s="22">
        <f>B23/K23</f>
        <v>403.63265306122452</v>
      </c>
      <c r="O23" s="22">
        <f>B23/P23</f>
        <v>41.991507430997878</v>
      </c>
      <c r="P23" s="18">
        <f>SUM(P21:P22)</f>
        <v>471</v>
      </c>
      <c r="Q23" s="18">
        <f>SUM(Q21:Q22)</f>
        <v>304.30769230769232</v>
      </c>
      <c r="R23" s="19">
        <f>P23/Q23-1</f>
        <v>0.54777553083923158</v>
      </c>
      <c r="S23" s="10">
        <f>SUM(S21:S22)</f>
        <v>471</v>
      </c>
      <c r="T23" s="10">
        <f>SUM(T21:T22)</f>
        <v>741</v>
      </c>
    </row>
    <row r="24" spans="1:20" s="37" customFormat="1" ht="17.25" customHeight="1" x14ac:dyDescent="0.25">
      <c r="B24" s="38"/>
      <c r="C24" s="38"/>
      <c r="D24" s="39"/>
      <c r="E24" s="38"/>
      <c r="F24" s="38"/>
      <c r="G24" s="39"/>
      <c r="H24" s="39"/>
      <c r="I24" s="38"/>
      <c r="J24" s="50"/>
      <c r="K24" s="38"/>
      <c r="L24" s="50"/>
      <c r="M24" s="40"/>
      <c r="N24" s="40"/>
      <c r="O24" s="40"/>
      <c r="P24" s="38"/>
      <c r="Q24" s="38"/>
      <c r="R24" s="39"/>
      <c r="S24" s="38"/>
      <c r="T24" s="38"/>
    </row>
    <row r="25" spans="1:20" ht="17.25" customHeight="1" x14ac:dyDescent="0.25">
      <c r="A25" s="41" t="s">
        <v>202</v>
      </c>
      <c r="B25" s="18">
        <f>SUM(B12:B13)+B17+B19+B23</f>
        <v>537535</v>
      </c>
      <c r="C25" s="18">
        <f>SUM(C12:C13)+C17+C19+C23</f>
        <v>472033.42307692306</v>
      </c>
      <c r="D25" s="19">
        <f>B25/C25-1</f>
        <v>0.13876470122837614</v>
      </c>
      <c r="E25" s="18">
        <f>SUM(E12:E13)+E17+E19+E23</f>
        <v>533603</v>
      </c>
      <c r="F25" s="18">
        <f>SUM(F12:F13)+F17+F19+F23</f>
        <v>403</v>
      </c>
      <c r="G25" s="19">
        <f>F25/B25</f>
        <v>7.4971862297338774E-4</v>
      </c>
      <c r="H25" s="19">
        <f>(SUM(Resultats!$J$60:$J$65)+SUM(Resultats!$J$56:$J$57)+Resultats!$J$100)/(SUM(Resultats!$N$60:N$65)+SUM(Resultats!$N$56:$N$57)+Resultats!$N$100)</f>
        <v>0.81605562579013902</v>
      </c>
      <c r="I25" s="18">
        <f>SUM(I12:I13)+I17+I19+I23</f>
        <v>1299</v>
      </c>
      <c r="J25" s="21">
        <f>SUM(J12:J13)+J17+J19+J23</f>
        <v>1233.1538461538462</v>
      </c>
      <c r="K25" s="18">
        <f>SUM(K12:K13)+K17+K19+K23</f>
        <v>1323</v>
      </c>
      <c r="L25" s="21">
        <f>SUM(L12:L13)+L17+L19+L23</f>
        <v>1300.3846153846155</v>
      </c>
      <c r="M25" s="22">
        <f>P25/K25</f>
        <v>12.399092970521542</v>
      </c>
      <c r="N25" s="22">
        <f>B25/K25</f>
        <v>406.3000755857899</v>
      </c>
      <c r="O25" s="22">
        <f>B25/P25</f>
        <v>32.768532065349916</v>
      </c>
      <c r="P25" s="18">
        <f>SUM(P12:P13)+P17+P19+P23</f>
        <v>16404</v>
      </c>
      <c r="Q25" s="18">
        <f>SUM(Q12:Q13)+Q17+Q19+Q23</f>
        <v>16267.192307692307</v>
      </c>
      <c r="R25" s="19">
        <f>P25/Q25-1</f>
        <v>8.4100371914213046E-3</v>
      </c>
      <c r="S25" s="38">
        <f>SUM(S12:S13)+S17+S19+S23</f>
        <v>16374</v>
      </c>
      <c r="T25" s="38">
        <f>SUM(T12:T13)+T17+T19+T23</f>
        <v>20055</v>
      </c>
    </row>
    <row r="27" spans="1:20" ht="17.25" customHeight="1" x14ac:dyDescent="0.25">
      <c r="A27" s="23" t="s">
        <v>272</v>
      </c>
      <c r="B27" s="18">
        <f>+Resultats!$AG$66+Resultats!$AQ$66+Resultats!$AR$66+Resultats!$AS$66+Resultats!$AT$66</f>
        <v>36073</v>
      </c>
      <c r="C27" s="18">
        <f>E27/CALCUL_DATE!$B$1*CALCUL_DATE!$B$2</f>
        <v>33863.961538461539</v>
      </c>
      <c r="D27" s="19">
        <f>B27/C27-1</f>
        <v>6.5232724146273124E-2</v>
      </c>
      <c r="E27" s="18">
        <f>+Resultats_N1!$AG$66+Resultats_N1!$AQ$66+Resultats_N1!$AR$66+Resultats_N1!$AS$66+Resultats_N1!$AT$66</f>
        <v>38281</v>
      </c>
      <c r="F27" s="18">
        <f>Resultats!$T$66</f>
        <v>0</v>
      </c>
      <c r="G27" s="19">
        <f>F27/B27</f>
        <v>0</v>
      </c>
      <c r="H27" s="20">
        <f>(Resultats!$J$66)/(Resultats!$N$66)</f>
        <v>0.48303030303030303</v>
      </c>
      <c r="I27" s="17">
        <f>Resultats!$AP$66</f>
        <v>83</v>
      </c>
      <c r="J27" s="21">
        <f>Resultats_N1!$AP$66/CALCUL_DATE!$B$1*CALCUL_DATE!$B$2</f>
        <v>102.61538461538461</v>
      </c>
      <c r="K27" s="17">
        <f>Resultats!$AD$66</f>
        <v>90</v>
      </c>
      <c r="L27" s="21">
        <f>Resultats_N1!$AD$66/CALCUL_DATE!$B$1*CALCUL_DATE!$B$2</f>
        <v>102.61538461538461</v>
      </c>
      <c r="M27" s="22">
        <f>P27/K27</f>
        <v>8.8555555555555561</v>
      </c>
      <c r="N27" s="22">
        <f>B27/K27</f>
        <v>400.81111111111113</v>
      </c>
      <c r="O27" s="22">
        <f>B27/P27</f>
        <v>45.260978670012548</v>
      </c>
      <c r="P27" s="18">
        <f>+Resultats!$AJ$66</f>
        <v>797</v>
      </c>
      <c r="Q27" s="18">
        <f>+Resultats_N1!$AJ$66/CALCUL_DATE!$B$1*CALCUL_DATE!$B$2</f>
        <v>873.11538461538453</v>
      </c>
      <c r="R27" s="19">
        <f>P27/Q27-1</f>
        <v>-8.7176776353464547E-2</v>
      </c>
      <c r="S27" s="10">
        <f>+Resultats!$J$66</f>
        <v>797</v>
      </c>
      <c r="T27" s="10">
        <f>+Resultats!$N$66</f>
        <v>1650</v>
      </c>
    </row>
    <row r="28" spans="1:20" ht="17.25" customHeight="1" x14ac:dyDescent="0.25">
      <c r="A28" s="23" t="s">
        <v>324</v>
      </c>
      <c r="B28" s="18">
        <f>+Resultats!$AG$67+Resultats!$AQ$67+Resultats!$AR$67+Resultats!$AS$67+Resultats!$AT$67</f>
        <v>0</v>
      </c>
      <c r="C28" s="18">
        <f>E28/CALCUL_DATE!$B$1*CALCUL_DATE!$B$2</f>
        <v>0</v>
      </c>
      <c r="D28" s="19" t="e">
        <f>B28/C28-1</f>
        <v>#DIV/0!</v>
      </c>
      <c r="E28" s="18">
        <f>+Resultats_N1!$AG$67+Resultats_N1!$AQ$67+Resultats_N1!$AR$67+Resultats_N1!$AS$67+Resultats_N1!$AT$67</f>
        <v>0</v>
      </c>
      <c r="F28" s="18">
        <f>Resultats!$T$67</f>
        <v>0</v>
      </c>
      <c r="G28" s="19" t="e">
        <f>F28/B28</f>
        <v>#DIV/0!</v>
      </c>
      <c r="H28" s="20" t="e">
        <f>(Resultats!$J$67)/(Resultats!$N$67)</f>
        <v>#DIV/0!</v>
      </c>
      <c r="I28" s="17">
        <f>Resultats!$AP$67</f>
        <v>0</v>
      </c>
      <c r="J28" s="21">
        <f>Resultats_N1!$AP$67/CALCUL_DATE!$B$1*CALCUL_DATE!$B$2</f>
        <v>0</v>
      </c>
      <c r="K28" s="17">
        <f>Resultats!$AD$67</f>
        <v>0</v>
      </c>
      <c r="L28" s="21">
        <f>Resultats_N1!$AD$67/CALCUL_DATE!$B$1*CALCUL_DATE!$B$2</f>
        <v>0</v>
      </c>
      <c r="M28" s="22" t="e">
        <f>P28/K28</f>
        <v>#DIV/0!</v>
      </c>
      <c r="N28" s="22" t="e">
        <f>B28/K28</f>
        <v>#DIV/0!</v>
      </c>
      <c r="O28" s="22" t="e">
        <f>B28/P28</f>
        <v>#DIV/0!</v>
      </c>
      <c r="P28" s="18">
        <f>+Resultats!$AJ$67</f>
        <v>0</v>
      </c>
      <c r="Q28" s="18">
        <f>+Resultats_N1!$AJ$67/CALCUL_DATE!$B$1*CALCUL_DATE!$B$2</f>
        <v>0</v>
      </c>
      <c r="R28" s="19" t="e">
        <f>P28/Q28-1</f>
        <v>#DIV/0!</v>
      </c>
      <c r="S28" s="10">
        <f>+Resultats!$J$67</f>
        <v>0</v>
      </c>
      <c r="T28" s="10">
        <f>+Resultats!$N$67</f>
        <v>0</v>
      </c>
    </row>
    <row r="29" spans="1:20" ht="17.25" customHeight="1" x14ac:dyDescent="0.25">
      <c r="A29" s="17" t="s">
        <v>273</v>
      </c>
      <c r="B29" s="18">
        <f>SUM(B27:B28)</f>
        <v>36073</v>
      </c>
      <c r="C29" s="18">
        <f>SUM(C27:C28)</f>
        <v>33863.961538461539</v>
      </c>
      <c r="D29" s="19">
        <f>B29/C29-1</f>
        <v>6.5232724146273124E-2</v>
      </c>
      <c r="E29" s="18">
        <f>SUM(E27:E28)</f>
        <v>38281</v>
      </c>
      <c r="F29" s="18">
        <f>SUM(F27:F28)</f>
        <v>0</v>
      </c>
      <c r="G29" s="19">
        <f>F29/B29</f>
        <v>0</v>
      </c>
      <c r="H29" s="19">
        <f>SUM(Resultats!$J$66:$J$68)/SUM(Resultats!$N$66:$N$68)</f>
        <v>0.48303030303030303</v>
      </c>
      <c r="I29" s="18">
        <f>SUM(I27:I28)</f>
        <v>83</v>
      </c>
      <c r="J29" s="21">
        <f>SUM(J27:J28)</f>
        <v>102.61538461538461</v>
      </c>
      <c r="K29" s="18">
        <f>SUM(K27:K28)</f>
        <v>90</v>
      </c>
      <c r="L29" s="21">
        <f>SUM(L27:L28)</f>
        <v>102.61538461538461</v>
      </c>
      <c r="M29" s="22">
        <f>P29/K29</f>
        <v>8.8555555555555561</v>
      </c>
      <c r="N29" s="22">
        <f>B29/K29</f>
        <v>400.81111111111113</v>
      </c>
      <c r="O29" s="22">
        <f>B29/P29</f>
        <v>45.260978670012548</v>
      </c>
      <c r="P29" s="18">
        <f>SUM(P27:P28)</f>
        <v>797</v>
      </c>
      <c r="Q29" s="18">
        <f>SUM(Q27:Q28)</f>
        <v>873.11538461538453</v>
      </c>
      <c r="R29" s="19">
        <f>P29/Q29-1</f>
        <v>-8.7176776353464547E-2</v>
      </c>
      <c r="S29" s="10">
        <f>SUM(S27:S28)</f>
        <v>797</v>
      </c>
      <c r="T29" s="10">
        <f>SUM(T27:T28)</f>
        <v>1650</v>
      </c>
    </row>
    <row r="31" spans="1:20" ht="17.25" customHeight="1" x14ac:dyDescent="0.25">
      <c r="A31" s="23" t="s">
        <v>274</v>
      </c>
      <c r="B31" s="18">
        <f>+Resultats!$AG$69+Resultats!$AQ$69+Resultats!$AR$69+Resultats!$AS$69+Resultats!$AT$69</f>
        <v>18393</v>
      </c>
      <c r="C31" s="18">
        <f>E31/CALCUL_DATE!$B$1*CALCUL_DATE!$B$2</f>
        <v>19970.192307692305</v>
      </c>
      <c r="D31" s="19">
        <f>B31/C31-1</f>
        <v>-7.8977321970243985E-2</v>
      </c>
      <c r="E31" s="18">
        <f>+Resultats_N1!$AG$69+Resultats_N1!$AQ$69+Resultats_N1!$AR$69+Resultats_N1!$AS$69+Resultats_N1!$AT$69</f>
        <v>22575</v>
      </c>
      <c r="F31" s="18">
        <f>Resultats!$T$69</f>
        <v>0</v>
      </c>
      <c r="G31" s="19">
        <f>F31/B31</f>
        <v>0</v>
      </c>
      <c r="H31" s="20">
        <f>(Resultats!$J$69)/(Resultats!$N$69)</f>
        <v>0.72651605231866823</v>
      </c>
      <c r="I31" s="17">
        <f>Resultats!$AP$69</f>
        <v>51</v>
      </c>
      <c r="J31" s="21">
        <f>Resultats_N1!$AP$69/CALCUL_DATE!$B$1*CALCUL_DATE!$B$2</f>
        <v>46</v>
      </c>
      <c r="K31" s="17">
        <f>Resultats!$AD$69</f>
        <v>46</v>
      </c>
      <c r="L31" s="21">
        <f>Resultats_N1!$AD$69/CALCUL_DATE!$B$1*CALCUL_DATE!$B$2</f>
        <v>43.346153846153847</v>
      </c>
      <c r="M31" s="22">
        <f>P31/K31</f>
        <v>13.282608695652174</v>
      </c>
      <c r="N31" s="22">
        <f>B31/K31</f>
        <v>399.8478260869565</v>
      </c>
      <c r="O31" s="22">
        <f>B31/P31</f>
        <v>30.103109656301147</v>
      </c>
      <c r="P31" s="18">
        <f>+Resultats!$AJ$69</f>
        <v>611</v>
      </c>
      <c r="Q31" s="18">
        <f>+Resultats_N1!$AJ$69/CALCUL_DATE!$B$1*CALCUL_DATE!$B$2</f>
        <v>643.11538461538453</v>
      </c>
      <c r="R31" s="19">
        <f>P31/Q31-1</f>
        <v>-4.9937204712636629E-2</v>
      </c>
      <c r="S31" s="10">
        <f>+Resultats!$J$69</f>
        <v>611</v>
      </c>
      <c r="T31" s="10">
        <f>+Resultats!$N$69</f>
        <v>841</v>
      </c>
    </row>
    <row r="32" spans="1:20" ht="17.25" customHeight="1" x14ac:dyDescent="0.25">
      <c r="A32" s="23" t="s">
        <v>110</v>
      </c>
      <c r="B32" s="18">
        <f>+Resultats!$AG$70+Resultats!$AQ$70+Resultats!$AR$70+Resultats!$AS$70+Resultats!$AT$70</f>
        <v>2603</v>
      </c>
      <c r="C32" s="18">
        <f>E32/CALCUL_DATE!$B$1*CALCUL_DATE!$B$2</f>
        <v>2313.2692307692309</v>
      </c>
      <c r="D32" s="19">
        <f>B32/C32-1</f>
        <v>0.12524731897913366</v>
      </c>
      <c r="E32" s="18">
        <f>+Resultats_N1!$AG$70+Resultats_N1!$AQ$70+Resultats_N1!$AR$70+Resultats_N1!$AS$70+Resultats_N1!$AT$70</f>
        <v>2615</v>
      </c>
      <c r="F32" s="18">
        <f>Resultats!$T$70</f>
        <v>0</v>
      </c>
      <c r="G32" s="19">
        <f>F32/B32</f>
        <v>0</v>
      </c>
      <c r="H32" s="20">
        <f>(Resultats!$J$70)/(Resultats!$N$70)</f>
        <v>1.2105263157894737</v>
      </c>
      <c r="I32" s="17">
        <f>Resultats!$AP$70</f>
        <v>3</v>
      </c>
      <c r="J32" s="21">
        <f>Resultats_N1!$AP$70/CALCUL_DATE!$B$1*CALCUL_DATE!$B$2</f>
        <v>2.6538461538461542</v>
      </c>
      <c r="K32" s="17">
        <f>Resultats!$AD$70</f>
        <v>5</v>
      </c>
      <c r="L32" s="21">
        <f>Resultats_N1!$AD$70/CALCUL_DATE!$B$1*CALCUL_DATE!$B$2</f>
        <v>2.6538461538461542</v>
      </c>
      <c r="M32" s="22">
        <f>P32/K32</f>
        <v>23</v>
      </c>
      <c r="N32" s="22">
        <f>B32/K32</f>
        <v>520.6</v>
      </c>
      <c r="O32" s="22">
        <f>B32/P32</f>
        <v>22.634782608695652</v>
      </c>
      <c r="P32" s="18">
        <f>+Resultats!$AJ$70</f>
        <v>115</v>
      </c>
      <c r="Q32" s="18">
        <f>+Resultats_N1!$AJ$70/CALCUL_DATE!$B$1*CALCUL_DATE!$B$2</f>
        <v>50.423076923076927</v>
      </c>
      <c r="R32" s="19">
        <f>P32/Q32-1</f>
        <v>1.2807017543859649</v>
      </c>
      <c r="S32" s="10">
        <f>+Resultats!$J$70</f>
        <v>115</v>
      </c>
      <c r="T32" s="10">
        <f>+Resultats!$N$70</f>
        <v>95</v>
      </c>
    </row>
    <row r="33" spans="1:20" ht="17.25" customHeight="1" x14ac:dyDescent="0.25">
      <c r="A33" s="23" t="s">
        <v>275</v>
      </c>
      <c r="B33" s="18">
        <f>+Resultats!$AG$71+Resultats!$AQ$71+Resultats!$AR$71+Resultats!$AS$71+Resultats!$AT$71</f>
        <v>1549</v>
      </c>
      <c r="C33" s="18">
        <f>E33/CALCUL_DATE!$B$1*CALCUL_DATE!$B$2</f>
        <v>2493.7307692307691</v>
      </c>
      <c r="D33" s="19">
        <f>B33/C33-1</f>
        <v>-0.3788423276832672</v>
      </c>
      <c r="E33" s="18">
        <f>+Resultats_N1!$AG$71+Resultats_N1!$AQ$71+Resultats_N1!$AR$71+Resultats_N1!$AS$71+Resultats_N1!$AT$71</f>
        <v>2819</v>
      </c>
      <c r="F33" s="18">
        <f>Resultats!$T$71</f>
        <v>0</v>
      </c>
      <c r="G33" s="19">
        <f>F33/B33</f>
        <v>0</v>
      </c>
      <c r="H33" s="20">
        <f>(Resultats!$J$71)/(Resultats!$N$71)</f>
        <v>0.42682926829268292</v>
      </c>
      <c r="I33" s="17">
        <f>Resultats!$AP$71</f>
        <v>5</v>
      </c>
      <c r="J33" s="21">
        <f>Resultats_N1!$AP$71/CALCUL_DATE!$B$1*CALCUL_DATE!$B$2</f>
        <v>13.269230769230768</v>
      </c>
      <c r="K33" s="17">
        <f>Resultats!$AD$71</f>
        <v>5</v>
      </c>
      <c r="L33" s="21">
        <f>Resultats_N1!$AD$71/CALCUL_DATE!$B$1*CALCUL_DATE!$B$2</f>
        <v>12.384615384615383</v>
      </c>
      <c r="M33" s="22">
        <f>P33/K33</f>
        <v>7</v>
      </c>
      <c r="N33" s="22">
        <f>B33/K33</f>
        <v>309.8</v>
      </c>
      <c r="O33" s="22">
        <f>B33/P33</f>
        <v>44.25714285714286</v>
      </c>
      <c r="P33" s="18">
        <f>+Resultats!$AJ$71</f>
        <v>35</v>
      </c>
      <c r="Q33" s="18">
        <f>+Resultats_N1!$AJ$71/CALCUL_DATE!$B$1*CALCUL_DATE!$B$2</f>
        <v>38.92307692307692</v>
      </c>
      <c r="R33" s="19">
        <f>P33/Q33-1</f>
        <v>-0.10079051383399207</v>
      </c>
      <c r="S33" s="10">
        <f>+Resultats!$J$71</f>
        <v>35</v>
      </c>
      <c r="T33" s="10">
        <f>+Resultats!$N$71</f>
        <v>82</v>
      </c>
    </row>
    <row r="34" spans="1:20" ht="17.25" customHeight="1" x14ac:dyDescent="0.25">
      <c r="A34" s="17" t="s">
        <v>276</v>
      </c>
      <c r="B34" s="18">
        <f>SUM(B31:B33)</f>
        <v>22545</v>
      </c>
      <c r="C34" s="18">
        <f>SUM(C31:C33)</f>
        <v>24777.192307692305</v>
      </c>
      <c r="D34" s="19">
        <f>B34/C34-1</f>
        <v>-9.0090607522116284E-2</v>
      </c>
      <c r="E34" s="18">
        <f>SUM(E31:E33)</f>
        <v>28009</v>
      </c>
      <c r="F34" s="18">
        <f>SUM(F31:F33)</f>
        <v>0</v>
      </c>
      <c r="G34" s="19">
        <f>F34/B34</f>
        <v>0</v>
      </c>
      <c r="H34" s="19">
        <f>SUM(Resultats!$J$69:$J$71)/SUM(Resultats!$N$69:$N$71)</f>
        <v>0.74754420432220037</v>
      </c>
      <c r="I34" s="18">
        <f>SUM(I31:I33)</f>
        <v>59</v>
      </c>
      <c r="J34" s="21">
        <f>SUM(J31:J33)</f>
        <v>61.92307692307692</v>
      </c>
      <c r="K34" s="18">
        <f>SUM(K31:K33)</f>
        <v>56</v>
      </c>
      <c r="L34" s="21">
        <f>SUM(L31:L33)</f>
        <v>58.384615384615387</v>
      </c>
      <c r="M34" s="22">
        <f>P34/K34</f>
        <v>13.589285714285714</v>
      </c>
      <c r="N34" s="22">
        <f>B34/K34</f>
        <v>402.58928571428572</v>
      </c>
      <c r="O34" s="22">
        <f>B34/P34</f>
        <v>29.625492772667542</v>
      </c>
      <c r="P34" s="18">
        <f>SUM(P31:P33)</f>
        <v>761</v>
      </c>
      <c r="Q34" s="18">
        <f>SUM(Q31:Q33)</f>
        <v>732.46153846153834</v>
      </c>
      <c r="R34" s="19">
        <f>P34/Q34-1</f>
        <v>3.8962402856542955E-2</v>
      </c>
      <c r="S34" s="10">
        <f>SUM(S31:S33)</f>
        <v>761</v>
      </c>
      <c r="T34" s="10">
        <f>SUM(T31:T33)</f>
        <v>1018</v>
      </c>
    </row>
    <row r="36" spans="1:20" ht="17.25" customHeight="1" x14ac:dyDescent="0.25">
      <c r="A36" s="23" t="s">
        <v>102</v>
      </c>
      <c r="B36" s="18">
        <f>+Resultats!$AG$72+Resultats!$AQ$72+Resultats!$AR$72+Resultats!$AS$72+Resultats!$AT$72</f>
        <v>12994</v>
      </c>
      <c r="C36" s="18">
        <f>E36/CALCUL_DATE!$B$1*CALCUL_DATE!$B$2</f>
        <v>15644.423076923078</v>
      </c>
      <c r="D36" s="19">
        <f>B36/C36-1</f>
        <v>-0.16941647920738534</v>
      </c>
      <c r="E36" s="18">
        <f>+Resultats_N1!$AG$72+Resultats_N1!$AQ$72+Resultats_N1!$AR$72+Resultats_N1!$AS$72+Resultats_N1!$AT$72</f>
        <v>17685</v>
      </c>
      <c r="F36" s="18">
        <f>Resultats!$T$72</f>
        <v>0</v>
      </c>
      <c r="G36" s="19">
        <f>F36/B36</f>
        <v>0</v>
      </c>
      <c r="H36" s="20">
        <f>(Resultats!$J$72)/(Resultats!$N$72)</f>
        <v>0.754</v>
      </c>
      <c r="I36" s="17">
        <f>Resultats!$AP$72</f>
        <v>34</v>
      </c>
      <c r="J36" s="21">
        <f>Resultats_N1!$AP$72/CALCUL_DATE!$B$1*CALCUL_DATE!$B$2</f>
        <v>43.346153846153847</v>
      </c>
      <c r="K36" s="17">
        <f>Resultats!$AD$72</f>
        <v>38</v>
      </c>
      <c r="L36" s="21">
        <f>Resultats_N1!$AD$72/CALCUL_DATE!$B$1*CALCUL_DATE!$B$2</f>
        <v>44.230769230769234</v>
      </c>
      <c r="M36" s="22">
        <f>P36/K36</f>
        <v>9.9210526315789469</v>
      </c>
      <c r="N36" s="22">
        <f>B36/K36</f>
        <v>341.94736842105266</v>
      </c>
      <c r="O36" s="22">
        <f>B36/P36</f>
        <v>34.46684350132626</v>
      </c>
      <c r="P36" s="18">
        <f>+Resultats!$AJ$72</f>
        <v>377</v>
      </c>
      <c r="Q36" s="18">
        <f>+Resultats_N1!$AJ$72/CALCUL_DATE!$B$1*CALCUL_DATE!$B$2</f>
        <v>479.46153846153845</v>
      </c>
      <c r="R36" s="19">
        <f>P36/Q36-1</f>
        <v>-0.2137012674474571</v>
      </c>
      <c r="S36" s="10">
        <f>+Resultats!$J$72</f>
        <v>377</v>
      </c>
      <c r="T36" s="10">
        <f>+Resultats!$N$72</f>
        <v>500</v>
      </c>
    </row>
    <row r="37" spans="1:20" ht="17.25" customHeight="1" x14ac:dyDescent="0.25">
      <c r="A37" s="23" t="s">
        <v>55</v>
      </c>
      <c r="B37" s="18">
        <f>+Resultats!$AG$73+Resultats!$AQ$73+Resultats!$AR$73+Resultats!$AS$73+Resultats!$AT$73</f>
        <v>1015</v>
      </c>
      <c r="C37" s="18">
        <f>E37/CALCUL_DATE!$B$1*CALCUL_DATE!$B$2</f>
        <v>1816.1153846153848</v>
      </c>
      <c r="D37" s="19">
        <f>B37/C37-1</f>
        <v>-0.44111480548084459</v>
      </c>
      <c r="E37" s="18">
        <f>+Resultats_N1!$AG$73+Resultats_N1!$AQ$73+Resultats_N1!$AR$73+Resultats_N1!$AS$73+Resultats_N1!$AT$73</f>
        <v>2053</v>
      </c>
      <c r="F37" s="18">
        <f>Resultats!$T$73</f>
        <v>0</v>
      </c>
      <c r="G37" s="19">
        <f>F37/B37</f>
        <v>0</v>
      </c>
      <c r="H37" s="20">
        <f>(Resultats!$J$73)/(Resultats!$N$73)</f>
        <v>0.19354838709677419</v>
      </c>
      <c r="I37" s="17">
        <f>Resultats!$AP$73</f>
        <v>5</v>
      </c>
      <c r="J37" s="21">
        <f>Resultats_N1!$AP$73/CALCUL_DATE!$B$1*CALCUL_DATE!$B$2</f>
        <v>7.9615384615384617</v>
      </c>
      <c r="K37" s="17">
        <f>Resultats!$AD$73</f>
        <v>6</v>
      </c>
      <c r="L37" s="21">
        <f>Resultats_N1!$AD$73/CALCUL_DATE!$B$1*CALCUL_DATE!$B$2</f>
        <v>7.9615384615384617</v>
      </c>
      <c r="M37" s="22">
        <f>P37/K37</f>
        <v>4</v>
      </c>
      <c r="N37" s="22">
        <f>B37/K37</f>
        <v>169.16666666666666</v>
      </c>
      <c r="O37" s="22">
        <f>B37/P37</f>
        <v>42.291666666666664</v>
      </c>
      <c r="P37" s="18">
        <f>+Resultats!$AJ$73</f>
        <v>24</v>
      </c>
      <c r="Q37" s="18">
        <f>+Resultats_N1!$AJ$73/CALCUL_DATE!$B$1*CALCUL_DATE!$B$2</f>
        <v>53.961538461538467</v>
      </c>
      <c r="R37" s="19">
        <f>P37/Q37-1</f>
        <v>-0.55523877405559519</v>
      </c>
      <c r="S37" s="10">
        <f>+Resultats!$J$73</f>
        <v>24</v>
      </c>
      <c r="T37" s="10">
        <f>+Resultats!$N$73</f>
        <v>124</v>
      </c>
    </row>
    <row r="38" spans="1:20" ht="17.25" customHeight="1" x14ac:dyDescent="0.25">
      <c r="A38" s="17" t="s">
        <v>277</v>
      </c>
      <c r="B38" s="18">
        <f>SUM(B36:B37)</f>
        <v>14009</v>
      </c>
      <c r="C38" s="18">
        <f>SUM(C36:C37)</f>
        <v>17460.538461538461</v>
      </c>
      <c r="D38" s="19">
        <f>B38/C38-1</f>
        <v>-0.19767651891958571</v>
      </c>
      <c r="E38" s="18">
        <f>SUM(E36:E37)</f>
        <v>19738</v>
      </c>
      <c r="F38" s="18">
        <f>SUM(F36:F37)</f>
        <v>0</v>
      </c>
      <c r="G38" s="19">
        <f>F38/B38</f>
        <v>0</v>
      </c>
      <c r="H38" s="19">
        <f>SUM(Resultats!$J$72:$J$73)/SUM(Resultats!$N$72:$N$73)</f>
        <v>0.64262820512820518</v>
      </c>
      <c r="I38" s="17">
        <f>SUM(I36:I37)</f>
        <v>39</v>
      </c>
      <c r="J38" s="21">
        <f>SUM(J36:J37)</f>
        <v>51.307692307692307</v>
      </c>
      <c r="K38" s="17">
        <f>SUM(K36:K37)</f>
        <v>44</v>
      </c>
      <c r="L38" s="21">
        <f>SUM(L36:L37)</f>
        <v>52.192307692307693</v>
      </c>
      <c r="M38" s="22">
        <f>P38/K38</f>
        <v>9.1136363636363633</v>
      </c>
      <c r="N38" s="22">
        <f>B38/K38</f>
        <v>318.38636363636363</v>
      </c>
      <c r="O38" s="22">
        <f>B38/P38</f>
        <v>34.935162094763093</v>
      </c>
      <c r="P38" s="21">
        <f>SUM(P36:P37)</f>
        <v>401</v>
      </c>
      <c r="Q38" s="21">
        <f>SUM(Q36:Q37)</f>
        <v>533.42307692307691</v>
      </c>
      <c r="R38" s="19">
        <f>P38/Q38-1</f>
        <v>-0.24825149614247599</v>
      </c>
      <c r="S38" s="15">
        <f>SUM(S36:S37)</f>
        <v>401</v>
      </c>
      <c r="T38" s="15">
        <f>SUM(T36:T37)</f>
        <v>624</v>
      </c>
    </row>
    <row r="40" spans="1:20" ht="17.25" customHeight="1" x14ac:dyDescent="0.25">
      <c r="A40" s="41" t="s">
        <v>298</v>
      </c>
      <c r="B40" s="18">
        <f>+B29+B34+B38</f>
        <v>72627</v>
      </c>
      <c r="C40" s="18">
        <f>+C29+C34+C38</f>
        <v>76101.692307692312</v>
      </c>
      <c r="D40" s="19">
        <f>B40/C40-1</f>
        <v>-4.5658541910520545E-2</v>
      </c>
      <c r="E40" s="18">
        <f>+E29+E34+E38</f>
        <v>86028</v>
      </c>
      <c r="F40" s="18">
        <f>+F29+F34+F38</f>
        <v>0</v>
      </c>
      <c r="G40" s="19">
        <f>F40/B40</f>
        <v>0</v>
      </c>
      <c r="H40" s="19">
        <f>SUM(Resultats!$J$66:$J$73)/SUM(Resultats!$N$66:$N$73)</f>
        <v>0.59507897934386389</v>
      </c>
      <c r="I40" s="18">
        <f>+I29+I34+I38</f>
        <v>181</v>
      </c>
      <c r="J40" s="21">
        <f>+J29+J34+J38</f>
        <v>215.84615384615387</v>
      </c>
      <c r="K40" s="18">
        <f>+K29+K34+K38</f>
        <v>190</v>
      </c>
      <c r="L40" s="21">
        <f>+L29+L34+L38</f>
        <v>213.19230769230768</v>
      </c>
      <c r="M40" s="22">
        <f>P40/K40</f>
        <v>10.310526315789474</v>
      </c>
      <c r="N40" s="22">
        <f>B40/K40</f>
        <v>382.24736842105261</v>
      </c>
      <c r="O40" s="22">
        <f>B40/P40</f>
        <v>37.073506891271059</v>
      </c>
      <c r="P40" s="18">
        <f>+P29+P34+P38</f>
        <v>1959</v>
      </c>
      <c r="Q40" s="18">
        <f>+Q29+Q34+Q38</f>
        <v>2139</v>
      </c>
      <c r="R40" s="19">
        <f>P40/Q40-1</f>
        <v>-8.4151472650771386E-2</v>
      </c>
      <c r="S40" s="10">
        <f>+S29+S34+S23</f>
        <v>2029</v>
      </c>
      <c r="T40" s="10">
        <f>+T29+T34+T23</f>
        <v>3409</v>
      </c>
    </row>
    <row r="42" spans="1:20" ht="17.25" customHeight="1" x14ac:dyDescent="0.25">
      <c r="A42" s="23" t="s">
        <v>278</v>
      </c>
      <c r="B42" s="18">
        <f>+Resultats!$AG$74+Resultats!$AQ$74+Resultats!$AR$74+Resultats!$AS$74+Resultats!$AT$74</f>
        <v>5398</v>
      </c>
      <c r="C42" s="18">
        <f>E42/CALCUL_DATE!$B$1*CALCUL_DATE!$B$2</f>
        <v>11947.615384615385</v>
      </c>
      <c r="D42" s="19">
        <f>B42/C42-1</f>
        <v>-0.54819436128226418</v>
      </c>
      <c r="E42" s="18">
        <f>+Resultats_N1!$AG$74+Resultats_N1!$AQ$74+Resultats_N1!$AR$74+Resultats_N1!$AS$74+Resultats_N1!$AT$74</f>
        <v>13506</v>
      </c>
      <c r="F42" s="18">
        <f>Resultats!$T$74</f>
        <v>0</v>
      </c>
      <c r="G42" s="19">
        <f>F42/B42</f>
        <v>0</v>
      </c>
      <c r="H42" s="20">
        <f>(Resultats!$J$74)/(Resultats!$N$74)</f>
        <v>0.27412280701754388</v>
      </c>
      <c r="I42" s="17">
        <f>Resultats!$AP$74</f>
        <v>28</v>
      </c>
      <c r="J42" s="21">
        <f>Resultats_N1!$AP$74/CALCUL_DATE!$B$1*CALCUL_DATE!$B$2</f>
        <v>23</v>
      </c>
      <c r="K42" s="17">
        <f>Resultats!$AD$74</f>
        <v>21</v>
      </c>
      <c r="L42" s="21">
        <f>Resultats_N1!$AD$74/CALCUL_DATE!$B$1*CALCUL_DATE!$B$2</f>
        <v>25.653846153846153</v>
      </c>
      <c r="M42" s="22">
        <f>P42/K42</f>
        <v>5.9523809523809526</v>
      </c>
      <c r="N42" s="22">
        <f>B42/K42</f>
        <v>257.04761904761904</v>
      </c>
      <c r="O42" s="22">
        <f>B42/P42</f>
        <v>43.183999999999997</v>
      </c>
      <c r="P42" s="18">
        <f>+Resultats!$AJ$74</f>
        <v>125</v>
      </c>
      <c r="Q42" s="18">
        <f>+Resultats_N1!$AJ$74/CALCUL_DATE!$B$1*CALCUL_DATE!$B$2</f>
        <v>260.96153846153845</v>
      </c>
      <c r="R42" s="19">
        <f>P42/Q42-1</f>
        <v>-0.52100221075902731</v>
      </c>
      <c r="S42" s="10">
        <f>+Resultats!$J$74</f>
        <v>125</v>
      </c>
      <c r="T42" s="10">
        <f>+Resultats!$N$74</f>
        <v>456</v>
      </c>
    </row>
    <row r="43" spans="1:20" ht="17.25" customHeight="1" x14ac:dyDescent="0.25">
      <c r="A43" s="23" t="s">
        <v>279</v>
      </c>
      <c r="B43" s="18">
        <f>+Resultats!$AG$76+Resultats!$AQ$76+Resultats!$AR$76+Resultats!$AS$76+Resultats!$AT$76</f>
        <v>32669</v>
      </c>
      <c r="C43" s="18">
        <f>E43/CALCUL_DATE!$B$1*CALCUL_DATE!$B$2</f>
        <v>32311.461538461539</v>
      </c>
      <c r="D43" s="19">
        <f>B43/C43-1</f>
        <v>1.1065375706167613E-2</v>
      </c>
      <c r="E43" s="18">
        <f>+Resultats_N1!$AG$76+Resultats_N1!$AQ$76+Resultats_N1!$AR$76+Resultats_N1!$AS$76+Resultats_N1!$AT$76</f>
        <v>36526</v>
      </c>
      <c r="F43" s="18">
        <f>Resultats!$T$76</f>
        <v>0</v>
      </c>
      <c r="G43" s="19">
        <f>F43/B43</f>
        <v>0</v>
      </c>
      <c r="H43" s="20">
        <f>(Resultats!$J$76)/(Resultats!$N$76)</f>
        <v>0.70752089136490248</v>
      </c>
      <c r="I43" s="17">
        <f>Resultats!$AP$76</f>
        <v>77</v>
      </c>
      <c r="J43" s="21">
        <f>Resultats_N1!$AP$76/CALCUL_DATE!$B$1*CALCUL_DATE!$B$2</f>
        <v>76.961538461538467</v>
      </c>
      <c r="K43" s="17">
        <f>Resultats!$AD$76</f>
        <v>80</v>
      </c>
      <c r="L43" s="21">
        <f>Resultats_N1!$AD$76/CALCUL_DATE!$B$1*CALCUL_DATE!$B$2</f>
        <v>75.192307692307693</v>
      </c>
      <c r="M43" s="22">
        <f>P43/K43</f>
        <v>12.7</v>
      </c>
      <c r="N43" s="22">
        <f>B43/K43</f>
        <v>408.36250000000001</v>
      </c>
      <c r="O43" s="22">
        <f>B43/P43</f>
        <v>32.154527559055119</v>
      </c>
      <c r="P43" s="18">
        <f>+Resultats!$AJ$76</f>
        <v>1016</v>
      </c>
      <c r="Q43" s="18">
        <f>+Resultats_N1!$AJ$76/CALCUL_DATE!$B$1*CALCUL_DATE!$B$2</f>
        <v>1080.1153846153845</v>
      </c>
      <c r="R43" s="19">
        <f>P43/Q43-1</f>
        <v>-5.9359755011928805E-2</v>
      </c>
      <c r="S43" s="10">
        <f>+Resultats!$J$76</f>
        <v>1016</v>
      </c>
      <c r="T43" s="10">
        <f>+Resultats!$N$76</f>
        <v>1436</v>
      </c>
    </row>
    <row r="44" spans="1:20" ht="17.25" customHeight="1" x14ac:dyDescent="0.25">
      <c r="A44" s="17" t="s">
        <v>280</v>
      </c>
      <c r="B44" s="18">
        <f>SUM(B42:B43)</f>
        <v>38067</v>
      </c>
      <c r="C44" s="18">
        <f>SUM(C42:C43)</f>
        <v>44259.076923076922</v>
      </c>
      <c r="D44" s="19">
        <f>B44/C44-1</f>
        <v>-0.13990524325301368</v>
      </c>
      <c r="E44" s="18">
        <f>SUM(E42:E43)</f>
        <v>50032</v>
      </c>
      <c r="F44" s="18">
        <f>SUM(F42:F43)</f>
        <v>0</v>
      </c>
      <c r="G44" s="19">
        <f>F44/B44</f>
        <v>0</v>
      </c>
      <c r="H44" s="19">
        <f>SUM(Resultats!$J$74:$J$76)/SUM(Resultats!$N$74:$N$76)</f>
        <v>0.60306553911205074</v>
      </c>
      <c r="I44" s="17">
        <f>SUM(I42:I43)</f>
        <v>105</v>
      </c>
      <c r="J44" s="21">
        <f>SUM(J42:J43)</f>
        <v>99.961538461538467</v>
      </c>
      <c r="K44" s="17">
        <f>SUM(K42:K43)</f>
        <v>101</v>
      </c>
      <c r="L44" s="21">
        <f>SUM(L42:L43)</f>
        <v>100.84615384615384</v>
      </c>
      <c r="M44" s="22">
        <f>P44/K44</f>
        <v>11.297029702970297</v>
      </c>
      <c r="N44" s="22">
        <f>B44/K44</f>
        <v>376.9009900990099</v>
      </c>
      <c r="O44" s="22">
        <f>B44/P44</f>
        <v>33.362839614373357</v>
      </c>
      <c r="P44" s="21">
        <f>SUM(P42:P43)</f>
        <v>1141</v>
      </c>
      <c r="Q44" s="21">
        <f>SUM(Q42:Q43)</f>
        <v>1341.0769230769229</v>
      </c>
      <c r="R44" s="19">
        <f>P44/Q44-1</f>
        <v>-0.14919123551680613</v>
      </c>
      <c r="S44" s="15">
        <f>SUM(S43:S43)</f>
        <v>1016</v>
      </c>
      <c r="T44" s="15">
        <f>SUM(T43:T43)</f>
        <v>1436</v>
      </c>
    </row>
    <row r="46" spans="1:20" ht="17.25" customHeight="1" x14ac:dyDescent="0.25">
      <c r="A46" s="23" t="s">
        <v>281</v>
      </c>
      <c r="B46" s="18">
        <f>+Resultats!$AG$77+Resultats!$AQ$77+Resultats!$AR$77+Resultats!$AS$77+Resultats!$AT$77</f>
        <v>24252</v>
      </c>
      <c r="C46" s="18">
        <f>E46/CALCUL_DATE!$B$1*CALCUL_DATE!$B$2</f>
        <v>27784</v>
      </c>
      <c r="D46" s="19">
        <f>B46/C46-1</f>
        <v>-0.12712352433054996</v>
      </c>
      <c r="E46" s="18">
        <f>+Resultats_N1!$AG$77+Resultats_N1!$AQ$77+Resultats_N1!$AR$77+Resultats_N1!$AS$77+Resultats_N1!$AT$77</f>
        <v>31408</v>
      </c>
      <c r="F46" s="18">
        <f>Resultats!$T$77</f>
        <v>0</v>
      </c>
      <c r="G46" s="19">
        <f>F46/B46</f>
        <v>0</v>
      </c>
      <c r="H46" s="20">
        <f>(Resultats!$J$77)/(Resultats!$N$77)</f>
        <v>0.50310173697270466</v>
      </c>
      <c r="I46" s="17">
        <f>Resultats!$AP$77</f>
        <v>59</v>
      </c>
      <c r="J46" s="21">
        <f>Resultats_N1!$AP$77/CALCUL_DATE!$B$1*CALCUL_DATE!$B$2</f>
        <v>67.230769230769226</v>
      </c>
      <c r="K46" s="17">
        <f>Resultats!$AD$77</f>
        <v>62</v>
      </c>
      <c r="L46" s="21">
        <f>Resultats_N1!$AD$77/CALCUL_DATE!$B$1*CALCUL_DATE!$B$2</f>
        <v>68.115384615384613</v>
      </c>
      <c r="M46" s="22">
        <f>P46/K46</f>
        <v>13.080645161290322</v>
      </c>
      <c r="N46" s="22">
        <f>B46/K46</f>
        <v>391.16129032258067</v>
      </c>
      <c r="O46" s="22">
        <f>B46/P46</f>
        <v>29.903822441430332</v>
      </c>
      <c r="P46" s="18">
        <f>+Resultats!$AJ$77</f>
        <v>811</v>
      </c>
      <c r="Q46" s="18">
        <f>+Resultats_N1!$AJ$77/CALCUL_DATE!$B$1*CALCUL_DATE!$B$2</f>
        <v>945.65384615384608</v>
      </c>
      <c r="R46" s="19">
        <f>P46/Q46-1</f>
        <v>-0.14239232114532063</v>
      </c>
      <c r="S46" s="10">
        <f>+Resultats!$J$77</f>
        <v>811</v>
      </c>
      <c r="T46" s="10">
        <f>+Resultats!$N$77</f>
        <v>1612</v>
      </c>
    </row>
    <row r="48" spans="1:20" ht="17.25" customHeight="1" x14ac:dyDescent="0.25">
      <c r="A48" s="23" t="s">
        <v>282</v>
      </c>
      <c r="B48" s="18">
        <f>+Resultats!$AG$79+Resultats!$AQ$79+Resultats!$AR$79+Resultats!$AS$79+Resultats!$AT$79</f>
        <v>8102</v>
      </c>
      <c r="C48" s="18">
        <f>E48/CALCUL_DATE!$B$1*CALCUL_DATE!$B$2</f>
        <v>7022.961538461539</v>
      </c>
      <c r="D48" s="19">
        <f>B48/C48-1</f>
        <v>0.15364436436524143</v>
      </c>
      <c r="E48" s="18">
        <f>+Resultats_N1!$AG$79+Resultats_N1!$AQ$79+Resultats_N1!$AR$79+Resultats_N1!$AS$79+Resultats_N1!$AT$79</f>
        <v>7939</v>
      </c>
      <c r="F48" s="18">
        <f>Resultats!$T$79</f>
        <v>0</v>
      </c>
      <c r="G48" s="19">
        <f>F48/B48</f>
        <v>0</v>
      </c>
      <c r="H48" s="20">
        <f>(Resultats!$J$79)/(Resultats!$N$79)</f>
        <v>0.43820224719101125</v>
      </c>
      <c r="I48" s="17">
        <f>Resultats!$AP$79</f>
        <v>31</v>
      </c>
      <c r="J48" s="21">
        <f>Resultats_N1!$AP$79/CALCUL_DATE!$B$1*CALCUL_DATE!$B$2</f>
        <v>23</v>
      </c>
      <c r="K48" s="17">
        <f>Resultats!$AD$79</f>
        <v>29</v>
      </c>
      <c r="L48" s="21">
        <f>Resultats_N1!$AD$79/CALCUL_DATE!$B$1*CALCUL_DATE!$B$2</f>
        <v>23.884615384615387</v>
      </c>
      <c r="M48" s="22">
        <f>P48/K48</f>
        <v>10.758620689655173</v>
      </c>
      <c r="N48" s="22">
        <f>B48/K48</f>
        <v>279.37931034482756</v>
      </c>
      <c r="O48" s="22">
        <f>B48/P48</f>
        <v>25.967948717948719</v>
      </c>
      <c r="P48" s="18">
        <f>+Resultats!$AJ$79</f>
        <v>312</v>
      </c>
      <c r="Q48" s="18">
        <f>+Resultats_N1!$AJ$79/CALCUL_DATE!$B$1*CALCUL_DATE!$B$2</f>
        <v>181.34615384615387</v>
      </c>
      <c r="R48" s="19">
        <f>P48/Q48-1</f>
        <v>0.72046659597030738</v>
      </c>
      <c r="S48" s="10">
        <f>+Resultats!$J$79</f>
        <v>312</v>
      </c>
      <c r="T48" s="10">
        <f>+Resultats!$N$79</f>
        <v>712</v>
      </c>
    </row>
    <row r="49" spans="1:20" ht="17.25" customHeight="1" x14ac:dyDescent="0.25">
      <c r="A49" s="23" t="s">
        <v>283</v>
      </c>
      <c r="B49" s="18">
        <f>+Resultats!$AG$80+Resultats!$AQ$80+Resultats!$AR$80+Resultats!$AS$80+Resultats!$AT$80</f>
        <v>1285</v>
      </c>
      <c r="C49" s="18">
        <f>E49/CALCUL_DATE!$B$1*CALCUL_DATE!$B$2</f>
        <v>398.07692307692304</v>
      </c>
      <c r="D49" s="19">
        <f>B49/C49-1</f>
        <v>2.2280193236714978</v>
      </c>
      <c r="E49" s="18">
        <f>+Resultats_N1!$AG$80+Resultats_N1!$AQ$80+Resultats_N1!$AR$80+Resultats_N1!$AS$80+Resultats_N1!$AT$80</f>
        <v>450</v>
      </c>
      <c r="F49" s="18">
        <f>Resultats!$T$80</f>
        <v>0</v>
      </c>
      <c r="G49" s="19">
        <f>F49/B49</f>
        <v>0</v>
      </c>
      <c r="H49" s="20">
        <f>(Resultats!$J$80)/(Resultats!$N$80)</f>
        <v>0.26627218934911245</v>
      </c>
      <c r="I49" s="17">
        <f>Resultats!$AP$80</f>
        <v>2</v>
      </c>
      <c r="J49" s="21">
        <f>Resultats_N1!$AP$80/CALCUL_DATE!$B$1*CALCUL_DATE!$B$2</f>
        <v>1.7692307692307694</v>
      </c>
      <c r="K49" s="17">
        <f>Resultats!$AD$80</f>
        <v>2</v>
      </c>
      <c r="L49" s="21">
        <f>Resultats_N1!$AD$80/CALCUL_DATE!$B$1*CALCUL_DATE!$B$2</f>
        <v>1.7692307692307694</v>
      </c>
      <c r="M49" s="22">
        <f>P49/K49</f>
        <v>22.5</v>
      </c>
      <c r="N49" s="22">
        <f>B49/K49</f>
        <v>642.5</v>
      </c>
      <c r="O49" s="22">
        <f>B49/P49</f>
        <v>28.555555555555557</v>
      </c>
      <c r="P49" s="18">
        <f>+Resultats!$AJ$80</f>
        <v>45</v>
      </c>
      <c r="Q49" s="18">
        <f>+Resultats_N1!$AJ$80/CALCUL_DATE!$B$1*CALCUL_DATE!$B$2</f>
        <v>24.769230769230766</v>
      </c>
      <c r="R49" s="19">
        <f>P49/Q49-1</f>
        <v>0.81677018633540399</v>
      </c>
      <c r="S49" s="10">
        <f>+Resultats!$J$80</f>
        <v>45</v>
      </c>
      <c r="T49" s="10">
        <f>+Resultats!$N$80</f>
        <v>169</v>
      </c>
    </row>
    <row r="50" spans="1:20" ht="17.25" customHeight="1" x14ac:dyDescent="0.25">
      <c r="A50" s="17" t="s">
        <v>284</v>
      </c>
      <c r="B50" s="18">
        <f>SUM(B48:B49)</f>
        <v>9387</v>
      </c>
      <c r="C50" s="18">
        <f>SUM(C48:C49)</f>
        <v>7421.0384615384619</v>
      </c>
      <c r="D50" s="19">
        <f>B50/C50-1</f>
        <v>0.26491730889829834</v>
      </c>
      <c r="E50" s="18">
        <f>SUM(E48:E49)</f>
        <v>8389</v>
      </c>
      <c r="F50" s="18">
        <f>SUM(F48:F49)</f>
        <v>0</v>
      </c>
      <c r="G50" s="19">
        <f>F50/B50</f>
        <v>0</v>
      </c>
      <c r="H50" s="19">
        <f>SUM(Resultats!$J$79:$J$80)/SUM(Resultats!$N$79:$N$80)</f>
        <v>0.40522133938706018</v>
      </c>
      <c r="I50" s="17">
        <f>SUM(I48:I49)</f>
        <v>33</v>
      </c>
      <c r="J50" s="21">
        <f>SUM(J48:J49)</f>
        <v>24.76923076923077</v>
      </c>
      <c r="K50" s="17">
        <f>SUM(K48:K49)</f>
        <v>31</v>
      </c>
      <c r="L50" s="21">
        <f>SUM(L48:L49)</f>
        <v>25.653846153846157</v>
      </c>
      <c r="M50" s="22">
        <f>P50/K50</f>
        <v>11.516129032258064</v>
      </c>
      <c r="N50" s="22">
        <f>B50/K50</f>
        <v>302.80645161290323</v>
      </c>
      <c r="O50" s="22">
        <f>B50/P50</f>
        <v>26.294117647058822</v>
      </c>
      <c r="P50" s="21">
        <f>SUM(P48:P49)</f>
        <v>357</v>
      </c>
      <c r="Q50" s="21">
        <f>SUM(Q48:Q49)</f>
        <v>206.11538461538464</v>
      </c>
      <c r="R50" s="19">
        <f>P50/Q50-1</f>
        <v>0.73203955961933165</v>
      </c>
      <c r="S50" s="15">
        <f>SUM(S48:S49)</f>
        <v>357</v>
      </c>
      <c r="T50" s="15">
        <f>SUM(T48:T49)</f>
        <v>881</v>
      </c>
    </row>
    <row r="52" spans="1:20" ht="17.25" customHeight="1" x14ac:dyDescent="0.25">
      <c r="A52" s="41" t="s">
        <v>302</v>
      </c>
      <c r="B52" s="18">
        <f>B50+B44+B46</f>
        <v>71706</v>
      </c>
      <c r="C52" s="18">
        <f>C50+C44+C46</f>
        <v>79464.115384615376</v>
      </c>
      <c r="D52" s="19">
        <f>B52/C52-1</f>
        <v>-9.7630425344386151E-2</v>
      </c>
      <c r="E52" s="18">
        <f>E50+E44+E46</f>
        <v>89829</v>
      </c>
      <c r="F52" s="18">
        <f>F50+F44+F46</f>
        <v>0</v>
      </c>
      <c r="G52" s="19">
        <f>F52/B52</f>
        <v>0</v>
      </c>
      <c r="H52" s="19">
        <f>SUM(Resultats!$J$74:$J$80)/SUM(Resultats!$N$74:$N$80)</f>
        <v>0.52656784492588371</v>
      </c>
      <c r="I52" s="18">
        <f>I50+I44+I46</f>
        <v>197</v>
      </c>
      <c r="J52" s="18">
        <f>J50+J44+J46</f>
        <v>191.96153846153845</v>
      </c>
      <c r="K52" s="18">
        <f>K50+K44+K46</f>
        <v>194</v>
      </c>
      <c r="L52" s="18">
        <f>L50+L44+L46</f>
        <v>194.61538461538461</v>
      </c>
      <c r="M52" s="22">
        <f>P52/K52</f>
        <v>11.902061855670103</v>
      </c>
      <c r="N52" s="22">
        <f>B52/K52</f>
        <v>369.61855670103091</v>
      </c>
      <c r="O52" s="22">
        <f>B52/P52</f>
        <v>31.055002165439586</v>
      </c>
      <c r="P52" s="18">
        <f>P50+P44+P46</f>
        <v>2309</v>
      </c>
      <c r="Q52" s="18">
        <f>Q50+Q44+Q46</f>
        <v>2492.8461538461538</v>
      </c>
      <c r="R52" s="19">
        <f>P52/Q52-1</f>
        <v>-7.3749498565124805E-2</v>
      </c>
      <c r="S52" s="18">
        <f>S50+S44+S46</f>
        <v>2184</v>
      </c>
      <c r="T52" s="18">
        <f>T50+T44+T46</f>
        <v>3929</v>
      </c>
    </row>
    <row r="54" spans="1:20" ht="17.25" customHeight="1" x14ac:dyDescent="0.25">
      <c r="A54" s="23" t="s">
        <v>176</v>
      </c>
      <c r="B54" s="18">
        <f>+Resultats!$AG$81+Resultats!$AQ$81+Resultats!$AR$81+Resultats!$AS$81+Resultats!$AT$81</f>
        <v>85075</v>
      </c>
      <c r="C54" s="18">
        <f>E54/CALCUL_DATE!$B$1*CALCUL_DATE!$B$2</f>
        <v>78812.153846153844</v>
      </c>
      <c r="D54" s="19">
        <f>B54/C54-1</f>
        <v>7.9465486580554856E-2</v>
      </c>
      <c r="E54" s="18">
        <f>+Resultats_N1!$AG$81+Resultats_N1!$AQ$81+Resultats_N1!$AR$81+Resultats_N1!$AS$81+Resultats_N1!$AT$81</f>
        <v>89092</v>
      </c>
      <c r="F54" s="18">
        <f>Resultats!$T$81</f>
        <v>0</v>
      </c>
      <c r="G54" s="19">
        <f>F54/B54</f>
        <v>0</v>
      </c>
      <c r="H54" s="20">
        <f>(Resultats!$J$81)/(Resultats!$N$81)</f>
        <v>0.67624521072796939</v>
      </c>
      <c r="I54" s="17">
        <f>Resultats!$AP$81</f>
        <v>171</v>
      </c>
      <c r="J54" s="21">
        <f>Resultats_N1!$AP$81/CALCUL_DATE!$B$1*CALCUL_DATE!$B$2</f>
        <v>165.42307692307693</v>
      </c>
      <c r="K54" s="17">
        <f>Resultats!$AD$81</f>
        <v>214</v>
      </c>
      <c r="L54" s="21">
        <f>Resultats_N1!$AD$81/CALCUL_DATE!$B$1*CALCUL_DATE!$B$2</f>
        <v>175.15384615384613</v>
      </c>
      <c r="M54" s="22">
        <f>P54/K54</f>
        <v>16.495327102803738</v>
      </c>
      <c r="N54" s="22">
        <f>B54/K54</f>
        <v>397.54672897196264</v>
      </c>
      <c r="O54" s="22">
        <f>B54/P54</f>
        <v>24.100566572237959</v>
      </c>
      <c r="P54" s="18">
        <f>+Resultats!$AJ$81</f>
        <v>3530</v>
      </c>
      <c r="Q54" s="18">
        <f>+Resultats_N1!$AJ$81/CALCUL_DATE!$B$1*CALCUL_DATE!$B$2</f>
        <v>2770.6153846153848</v>
      </c>
      <c r="R54" s="19">
        <f>P54/Q54-1</f>
        <v>0.27408517963240597</v>
      </c>
      <c r="S54" s="10">
        <f>+Resultats!$J$81</f>
        <v>3530</v>
      </c>
      <c r="T54" s="10">
        <f>+Resultats!$N$81</f>
        <v>5220</v>
      </c>
    </row>
    <row r="55" spans="1:20" ht="17.25" customHeight="1" x14ac:dyDescent="0.25">
      <c r="A55" s="23" t="s">
        <v>174</v>
      </c>
      <c r="B55" s="18">
        <v>0</v>
      </c>
      <c r="C55" s="18">
        <f>E55/CALCUL_DATE!$B$1*CALCUL_DATE!$B$2</f>
        <v>0</v>
      </c>
      <c r="D55" s="19" t="e">
        <f>B55/C55-1</f>
        <v>#DIV/0!</v>
      </c>
      <c r="E55" s="18">
        <v>0</v>
      </c>
      <c r="F55" s="18">
        <f>Resultats!$T113</f>
        <v>0</v>
      </c>
      <c r="G55" s="19" t="e">
        <f>F55/B55</f>
        <v>#DIV/0!</v>
      </c>
      <c r="H55" s="20">
        <v>0</v>
      </c>
      <c r="I55" s="17">
        <v>0</v>
      </c>
      <c r="J55" s="21">
        <v>0</v>
      </c>
      <c r="K55" s="17">
        <v>0</v>
      </c>
      <c r="L55" s="21">
        <v>0</v>
      </c>
      <c r="M55" s="22" t="e">
        <f>P55/K55</f>
        <v>#DIV/0!</v>
      </c>
      <c r="N55" s="22" t="e">
        <f>B55/K55</f>
        <v>#DIV/0!</v>
      </c>
      <c r="O55" s="22" t="e">
        <f>B55/P55</f>
        <v>#DIV/0!</v>
      </c>
      <c r="P55" s="18">
        <v>0</v>
      </c>
      <c r="Q55" s="18">
        <v>0</v>
      </c>
      <c r="R55" s="19" t="e">
        <f>P55/Q55-1</f>
        <v>#DIV/0!</v>
      </c>
      <c r="S55" s="10">
        <v>0</v>
      </c>
      <c r="T55" s="10">
        <v>0</v>
      </c>
    </row>
    <row r="56" spans="1:20" ht="17.25" customHeight="1" x14ac:dyDescent="0.25">
      <c r="A56" s="17" t="s">
        <v>286</v>
      </c>
      <c r="B56" s="18">
        <f>SUM(B54:B55)</f>
        <v>85075</v>
      </c>
      <c r="C56" s="18">
        <f>SUM(C54:C55)</f>
        <v>78812.153846153844</v>
      </c>
      <c r="D56" s="19">
        <f>B56/C56-1</f>
        <v>7.9465486580554856E-2</v>
      </c>
      <c r="E56" s="18">
        <f>SUM(E54:E55)</f>
        <v>89092</v>
      </c>
      <c r="F56" s="18">
        <f>SUM(F54:F55)</f>
        <v>0</v>
      </c>
      <c r="G56" s="19">
        <f>F56/B56</f>
        <v>0</v>
      </c>
      <c r="H56" s="19">
        <f>SUM(Resultats!$J$81)/SUM(Resultats!$N$81)</f>
        <v>0.67624521072796939</v>
      </c>
      <c r="I56" s="18">
        <f>SUM(I54:I55)</f>
        <v>171</v>
      </c>
      <c r="J56" s="21">
        <f>SUM(J54:J55)</f>
        <v>165.42307692307693</v>
      </c>
      <c r="K56" s="18">
        <f>SUM(K54:K55)</f>
        <v>214</v>
      </c>
      <c r="L56" s="21">
        <f>SUM(L54:L55)</f>
        <v>175.15384615384613</v>
      </c>
      <c r="M56" s="22">
        <f>P56/K56</f>
        <v>16.495327102803738</v>
      </c>
      <c r="N56" s="22">
        <f>B56/K56</f>
        <v>397.54672897196264</v>
      </c>
      <c r="O56" s="22">
        <f>B56/P56</f>
        <v>24.100566572237959</v>
      </c>
      <c r="P56" s="18">
        <f>SUM(P54:P55)</f>
        <v>3530</v>
      </c>
      <c r="Q56" s="18">
        <f>SUM(Q54:Q55)</f>
        <v>2770.6153846153848</v>
      </c>
      <c r="R56" s="19">
        <f>P56/Q56-1</f>
        <v>0.27408517963240597</v>
      </c>
      <c r="S56" s="10">
        <f>SUM(S54:S55)</f>
        <v>3530</v>
      </c>
      <c r="T56" s="10">
        <f>SUM(T54:T55)</f>
        <v>5220</v>
      </c>
    </row>
    <row r="58" spans="1:20" ht="17.25" customHeight="1" x14ac:dyDescent="0.25">
      <c r="A58" s="23" t="s">
        <v>287</v>
      </c>
      <c r="B58" s="18">
        <f>+Resultats!$AG$83+Resultats!$AQ$83+Resultats!$AR$83+Resultats!$AS$83+Resultats!$AT$83</f>
        <v>8266</v>
      </c>
      <c r="C58" s="18">
        <f>E58/CALCUL_DATE!$B$1*CALCUL_DATE!$B$2</f>
        <v>9654.6923076923085</v>
      </c>
      <c r="D58" s="19">
        <f>B58/C58-1</f>
        <v>-0.14383599843838402</v>
      </c>
      <c r="E58" s="18">
        <f>+Resultats_N1!$AG$83+Resultats_N1!$AQ$83+Resultats_N1!$AR$83+Resultats_N1!$AS$83+Resultats_N1!$AT$83</f>
        <v>10914</v>
      </c>
      <c r="F58" s="18">
        <f>Resultats!$T$83</f>
        <v>0</v>
      </c>
      <c r="G58" s="19">
        <f>F58/B58</f>
        <v>0</v>
      </c>
      <c r="H58" s="20">
        <f>(Resultats!$J$83)/(Resultats!$N$83)</f>
        <v>0.28552456839309431</v>
      </c>
      <c r="I58" s="17">
        <f>Resultats!$AP$83</f>
        <v>25</v>
      </c>
      <c r="J58" s="21">
        <f>Resultats_N1!$AP$83/CALCUL_DATE!$B$1*CALCUL_DATE!$B$2</f>
        <v>21.230769230769234</v>
      </c>
      <c r="K58" s="17">
        <f>Resultats!$AD$83</f>
        <v>27</v>
      </c>
      <c r="L58" s="21">
        <f>Resultats_N1!$AD$83/CALCUL_DATE!$B$1*CALCUL_DATE!$B$2</f>
        <v>27.423076923076923</v>
      </c>
      <c r="M58" s="22">
        <f>P58/K58</f>
        <v>7.9629629629629628</v>
      </c>
      <c r="N58" s="22">
        <f>B58/K58</f>
        <v>306.14814814814815</v>
      </c>
      <c r="O58" s="22">
        <f>B58/P58</f>
        <v>38.446511627906979</v>
      </c>
      <c r="P58" s="18">
        <f>+Resultats!$AJ$83</f>
        <v>215</v>
      </c>
      <c r="Q58" s="18">
        <f>+Resultats_N1!$AJ$83/CALCUL_DATE!$B$1*CALCUL_DATE!$B$2</f>
        <v>370.65384615384619</v>
      </c>
      <c r="R58" s="19">
        <f>P58/Q58-1</f>
        <v>-0.41994396596451178</v>
      </c>
      <c r="S58" s="10">
        <f>+Resultats!$J$83</f>
        <v>215</v>
      </c>
      <c r="T58" s="10">
        <f>+Resultats!$N$83</f>
        <v>753</v>
      </c>
    </row>
    <row r="59" spans="1:20" ht="17.25" customHeight="1" x14ac:dyDescent="0.25">
      <c r="A59" s="23" t="s">
        <v>288</v>
      </c>
      <c r="B59" s="18">
        <f>+Resultats!$AG$84+Resultats!$AQ$84+Resultats!$AR$84+Resultats!$AS$84+Resultats!$AT$84</f>
        <v>2654</v>
      </c>
      <c r="C59" s="18">
        <f>E59/CALCUL_DATE!$B$1*CALCUL_DATE!$B$2</f>
        <v>4319.5769230769238</v>
      </c>
      <c r="D59" s="19">
        <f>B59/C59-1</f>
        <v>-0.38558797603041617</v>
      </c>
      <c r="E59" s="18">
        <f>+Resultats_N1!$AG$84+Resultats_N1!$AQ$84+Resultats_N1!$AR$84+Resultats_N1!$AS$84+Resultats_N1!$AT$84</f>
        <v>4883</v>
      </c>
      <c r="F59" s="18">
        <f>Resultats!$T$84</f>
        <v>0</v>
      </c>
      <c r="G59" s="19">
        <f>F59/B59</f>
        <v>0</v>
      </c>
      <c r="H59" s="20">
        <f>(Resultats!$J$84)/(Resultats!$N$84)</f>
        <v>0.34782608695652173</v>
      </c>
      <c r="I59" s="17">
        <f>Resultats!$AP$84</f>
        <v>13</v>
      </c>
      <c r="J59" s="21">
        <f>Resultats_N1!$AP$84/CALCUL_DATE!$B$1*CALCUL_DATE!$B$2</f>
        <v>11.5</v>
      </c>
      <c r="K59" s="17">
        <f>Resultats!$AD$84</f>
        <v>13</v>
      </c>
      <c r="L59" s="21">
        <f>Resultats_N1!$AD$84/CALCUL_DATE!$B$1*CALCUL_DATE!$B$2</f>
        <v>9.7307692307692299</v>
      </c>
      <c r="M59" s="22">
        <f>P59/K59</f>
        <v>4.3076923076923075</v>
      </c>
      <c r="N59" s="22">
        <f>B59/K59</f>
        <v>204.15384615384616</v>
      </c>
      <c r="O59" s="22">
        <f>B59/P59</f>
        <v>47.392857142857146</v>
      </c>
      <c r="P59" s="18">
        <f>+Resultats!$AJ$84</f>
        <v>56</v>
      </c>
      <c r="Q59" s="18">
        <f>+Resultats_N1!$AJ$84/CALCUL_DATE!$B$1*CALCUL_DATE!$B$2</f>
        <v>81.384615384615387</v>
      </c>
      <c r="R59" s="19">
        <f>P59/Q59-1</f>
        <v>-0.31190926275992437</v>
      </c>
      <c r="S59" s="10">
        <f>+Resultats!$J$84</f>
        <v>56</v>
      </c>
      <c r="T59" s="10">
        <f>+Resultats!$N$84</f>
        <v>161</v>
      </c>
    </row>
    <row r="60" spans="1:20" ht="17.25" customHeight="1" x14ac:dyDescent="0.25">
      <c r="A60" s="17" t="s">
        <v>289</v>
      </c>
      <c r="B60" s="18">
        <f>SUM(B58:B59)</f>
        <v>10920</v>
      </c>
      <c r="C60" s="18">
        <f>SUM(C58:C59)</f>
        <v>13974.269230769232</v>
      </c>
      <c r="D60" s="19">
        <f>B60/C60-1</f>
        <v>-0.21856378894176398</v>
      </c>
      <c r="E60" s="18">
        <f>SUM(E58:E59)</f>
        <v>15797</v>
      </c>
      <c r="F60" s="18">
        <f>SUM(F58:F59)</f>
        <v>0</v>
      </c>
      <c r="G60" s="19">
        <f>F60/B60</f>
        <v>0</v>
      </c>
      <c r="H60" s="19">
        <f>SUM(Resultats!$J$83:$J$84)/SUM(Resultats!$N$83:$N$84)</f>
        <v>0.2964989059080963</v>
      </c>
      <c r="I60" s="17">
        <f>SUM(I58:I59)</f>
        <v>38</v>
      </c>
      <c r="J60" s="21">
        <f>SUM(J58:J59)</f>
        <v>32.730769230769234</v>
      </c>
      <c r="K60" s="17">
        <f>SUM(K58:K59)</f>
        <v>40</v>
      </c>
      <c r="L60" s="21">
        <f>SUM(L58:L59)</f>
        <v>37.153846153846153</v>
      </c>
      <c r="M60" s="22">
        <f>P60/K60</f>
        <v>6.7750000000000004</v>
      </c>
      <c r="N60" s="22">
        <f>B60/K60</f>
        <v>273</v>
      </c>
      <c r="O60" s="22">
        <f>B60/P60</f>
        <v>40.29520295202952</v>
      </c>
      <c r="P60" s="21">
        <f>SUM(P58:P59)</f>
        <v>271</v>
      </c>
      <c r="Q60" s="21">
        <f>SUM(Q58:Q59)</f>
        <v>452.03846153846155</v>
      </c>
      <c r="R60" s="19">
        <f>P60/Q60-1</f>
        <v>-0.40049349102356846</v>
      </c>
      <c r="S60" s="15">
        <f>SUM(S58:S59)</f>
        <v>271</v>
      </c>
      <c r="T60" s="15">
        <f>SUM(T58:T59)</f>
        <v>914</v>
      </c>
    </row>
    <row r="62" spans="1:20" ht="17.25" customHeight="1" x14ac:dyDescent="0.25">
      <c r="A62" s="23" t="s">
        <v>285</v>
      </c>
      <c r="B62" s="18">
        <f>+Resultats!$AG$82+Resultats!$AQ$82+Resultats!$AR$82+Resultats!$AS$82+Resultats!$AT$82</f>
        <v>9505</v>
      </c>
      <c r="C62" s="18">
        <f>E62/CALCUL_DATE!$B$1*CALCUL_DATE!$B$2</f>
        <v>9121.2692307692305</v>
      </c>
      <c r="D62" s="19">
        <f>B62/C62-1</f>
        <v>4.2069887372287118E-2</v>
      </c>
      <c r="E62" s="18">
        <f>+Resultats_N1!$AG$82+Resultats_N1!$AQ$82+Resultats_N1!$AR$82+Resultats_N1!$AS$82+Resultats_N1!$AT$82</f>
        <v>10311</v>
      </c>
      <c r="F62" s="18">
        <f>Resultats!$T$82</f>
        <v>0</v>
      </c>
      <c r="G62" s="19">
        <f>F62/B62</f>
        <v>0</v>
      </c>
      <c r="H62" s="20">
        <f>(Resultats!$J$82)/(Resultats!$N$82)</f>
        <v>0.54684512428298282</v>
      </c>
      <c r="I62" s="17">
        <f>Resultats!$AP$82</f>
        <v>47</v>
      </c>
      <c r="J62" s="21">
        <f>Resultats_N1!$AP$82/CALCUL_DATE!$B$1*CALCUL_DATE!$B$2</f>
        <v>48.653846153846153</v>
      </c>
      <c r="K62" s="17">
        <f>Resultats!$AD$82</f>
        <v>46</v>
      </c>
      <c r="L62" s="21">
        <f>Resultats_N1!$AD$82/CALCUL_DATE!$B$1*CALCUL_DATE!$B$2</f>
        <v>46</v>
      </c>
      <c r="M62" s="22">
        <f>P62/K62</f>
        <v>6.2173913043478262</v>
      </c>
      <c r="N62" s="22">
        <f>B62/K62</f>
        <v>206.63043478260869</v>
      </c>
      <c r="O62" s="22">
        <f>B62/P62</f>
        <v>33.234265734265733</v>
      </c>
      <c r="P62" s="18">
        <f>+Resultats!$AJ$82</f>
        <v>286</v>
      </c>
      <c r="Q62" s="18">
        <f>+Resultats_N1!$AJ$82/CALCUL_DATE!$B$1*CALCUL_DATE!$B$2</f>
        <v>267.15384615384613</v>
      </c>
      <c r="R62" s="19">
        <f>P62/Q62-1</f>
        <v>7.0544198099625754E-2</v>
      </c>
      <c r="S62" s="10">
        <f>+Resultats!$J$82</f>
        <v>286</v>
      </c>
      <c r="T62" s="10">
        <f>+Resultats!$N$82</f>
        <v>523</v>
      </c>
    </row>
    <row r="63" spans="1:20" ht="17.25" customHeight="1" x14ac:dyDescent="0.25">
      <c r="A63" s="23" t="s">
        <v>290</v>
      </c>
      <c r="B63" s="18">
        <f>+Resultats!$AG$85+Resultats!$AQ$85+Resultats!$AR$85+Resultats!$AS$85+Resultats!$AT$85</f>
        <v>977</v>
      </c>
      <c r="C63" s="18">
        <f>E63/CALCUL_DATE!$B$1*CALCUL_DATE!$B$2</f>
        <v>3232.3846153846157</v>
      </c>
      <c r="D63" s="19">
        <f>B63/C63-1</f>
        <v>-0.69774636491278175</v>
      </c>
      <c r="E63" s="18">
        <f>+Resultats_N1!$AG$85+Resultats_N1!$AQ$85+Resultats_N1!$AR$85+Resultats_N1!$AS$85+Resultats_N1!$AT$85</f>
        <v>3654</v>
      </c>
      <c r="F63" s="18">
        <f>Resultats!$T$85</f>
        <v>0</v>
      </c>
      <c r="G63" s="19">
        <f>F63/B63</f>
        <v>0</v>
      </c>
      <c r="H63" s="20">
        <f>(Resultats!$J$85)/(Resultats!$N$85)</f>
        <v>0.34408602150537637</v>
      </c>
      <c r="I63" s="17">
        <f>Resultats!$AP$85</f>
        <v>4</v>
      </c>
      <c r="J63" s="21">
        <f>Resultats_N1!$AP$85/CALCUL_DATE!$B$1*CALCUL_DATE!$B$2</f>
        <v>9.7307692307692299</v>
      </c>
      <c r="K63" s="17">
        <f>Resultats!$AD$85</f>
        <v>5</v>
      </c>
      <c r="L63" s="21">
        <f>Resultats_N1!$AD$85/CALCUL_DATE!$B$1*CALCUL_DATE!$B$2</f>
        <v>9.7307692307692299</v>
      </c>
      <c r="M63" s="22">
        <f>P63/K63</f>
        <v>6.4</v>
      </c>
      <c r="N63" s="22">
        <f>B63/K63</f>
        <v>195.4</v>
      </c>
      <c r="O63" s="22">
        <f>B63/P63</f>
        <v>30.53125</v>
      </c>
      <c r="P63" s="18">
        <f>+Resultats!$AJ$85</f>
        <v>32</v>
      </c>
      <c r="Q63" s="18">
        <f>+Resultats_N1!$AJ$85/CALCUL_DATE!$B$1*CALCUL_DATE!$B$2</f>
        <v>85.807692307692307</v>
      </c>
      <c r="R63" s="19">
        <f>P63/Q63-1</f>
        <v>-0.62707306140744068</v>
      </c>
      <c r="S63" s="10">
        <f>+Resultats!$J$85</f>
        <v>32</v>
      </c>
      <c r="T63" s="10">
        <f>+Resultats!$N$85</f>
        <v>93</v>
      </c>
    </row>
    <row r="64" spans="1:20" ht="17.25" customHeight="1" x14ac:dyDescent="0.25">
      <c r="A64" s="23" t="s">
        <v>291</v>
      </c>
      <c r="B64" s="18">
        <f>+Resultats!$AG$86+Resultats!$AQ$86+Resultats!$AR$86+Resultats!$AS$86+Resultats!$AT$86</f>
        <v>5082</v>
      </c>
      <c r="C64" s="18">
        <f>E64/CALCUL_DATE!$B$1*CALCUL_DATE!$B$2</f>
        <v>3052.8076923076924</v>
      </c>
      <c r="D64" s="19">
        <f>B64/C64-1</f>
        <v>0.6646970632330893</v>
      </c>
      <c r="E64" s="18">
        <f>+Resultats_N1!$AG$86+Resultats_N1!$AQ$86+Resultats_N1!$AR$86+Resultats_N1!$AS$86+Resultats_N1!$AT$86</f>
        <v>3451</v>
      </c>
      <c r="F64" s="18">
        <f>Resultats!$T$86</f>
        <v>0</v>
      </c>
      <c r="G64" s="19">
        <f>F64/B64</f>
        <v>0</v>
      </c>
      <c r="H64" s="20">
        <f>(Resultats!$J$86)/(Resultats!$N$86)</f>
        <v>0.61478599221789887</v>
      </c>
      <c r="I64" s="17">
        <f>Resultats!$AP$86</f>
        <v>13</v>
      </c>
      <c r="J64" s="21">
        <f>Resultats_N1!$AP$86/CALCUL_DATE!$B$1*CALCUL_DATE!$B$2</f>
        <v>8.8461538461538467</v>
      </c>
      <c r="K64" s="17">
        <f>Resultats!$AD$86</f>
        <v>13</v>
      </c>
      <c r="L64" s="21">
        <f>Resultats_N1!$AD$86/CALCUL_DATE!$B$1*CALCUL_DATE!$B$2</f>
        <v>8.8461538461538467</v>
      </c>
      <c r="M64" s="22">
        <f>P64/K64</f>
        <v>12.153846153846153</v>
      </c>
      <c r="N64" s="22">
        <f>B64/K64</f>
        <v>390.92307692307691</v>
      </c>
      <c r="O64" s="22">
        <f>B64/P64</f>
        <v>32.164556962025316</v>
      </c>
      <c r="P64" s="18">
        <f>+Resultats!$AJ$86</f>
        <v>158</v>
      </c>
      <c r="Q64" s="18">
        <f>+Resultats_N1!$AJ$86/CALCUL_DATE!$B$1*CALCUL_DATE!$B$2</f>
        <v>99.961538461538453</v>
      </c>
      <c r="R64" s="19">
        <f>P64/Q64-1</f>
        <v>0.5806079261254331</v>
      </c>
      <c r="S64" s="10">
        <f>+Resultats!$J$86</f>
        <v>158</v>
      </c>
      <c r="T64" s="10">
        <f>+Resultats!$N$86</f>
        <v>257</v>
      </c>
    </row>
    <row r="65" spans="1:20" ht="17.25" customHeight="1" x14ac:dyDescent="0.25">
      <c r="A65" s="17" t="s">
        <v>373</v>
      </c>
      <c r="B65" s="18">
        <f>SUM(B62:B64)</f>
        <v>15564</v>
      </c>
      <c r="C65" s="18">
        <f>SUM(C62:C64)</f>
        <v>15406.461538461539</v>
      </c>
      <c r="D65" s="19">
        <f>B65/C65-1</f>
        <v>1.0225479818657401E-2</v>
      </c>
      <c r="E65" s="18">
        <f>SUM(E62:E64)</f>
        <v>17416</v>
      </c>
      <c r="F65" s="18">
        <f>SUM(F62:F64)</f>
        <v>0</v>
      </c>
      <c r="G65" s="19">
        <f>F65/B65</f>
        <v>0</v>
      </c>
      <c r="H65" s="19">
        <f>(SUM(Resultats!$J$85:$J$86)+Resultats!$J$82)/(SUM(Resultats!$N$85:N$86)+Resultats!$N$82)</f>
        <v>0.54524627720504004</v>
      </c>
      <c r="I65" s="18">
        <f>SUM(I62:I64)</f>
        <v>64</v>
      </c>
      <c r="J65" s="21">
        <f>SUM(J62:J64)</f>
        <v>67.230769230769226</v>
      </c>
      <c r="K65" s="18">
        <f>SUM(K62:K64)</f>
        <v>64</v>
      </c>
      <c r="L65" s="21">
        <f>SUM(L62:L64)</f>
        <v>64.576923076923066</v>
      </c>
      <c r="M65" s="22">
        <f>P65/K65</f>
        <v>7.4375</v>
      </c>
      <c r="N65" s="22">
        <f>B65/K65</f>
        <v>243.1875</v>
      </c>
      <c r="O65" s="22">
        <f>B65/P65</f>
        <v>32.69747899159664</v>
      </c>
      <c r="P65" s="18">
        <f>SUM(P62:P64)</f>
        <v>476</v>
      </c>
      <c r="Q65" s="18">
        <f>SUM(Q62:Q64)</f>
        <v>452.92307692307691</v>
      </c>
      <c r="R65" s="19">
        <f>P65/Q65-1</f>
        <v>5.0951086956521729E-2</v>
      </c>
      <c r="S65" s="38">
        <f>SUM(S62:S64)</f>
        <v>476</v>
      </c>
      <c r="T65" s="38">
        <f>SUM(T62:T64)</f>
        <v>873</v>
      </c>
    </row>
    <row r="67" spans="1:20" ht="17.25" customHeight="1" x14ac:dyDescent="0.25">
      <c r="A67" s="41" t="s">
        <v>303</v>
      </c>
      <c r="B67" s="18">
        <f>+B56+B60+B65</f>
        <v>111559</v>
      </c>
      <c r="C67" s="18">
        <f>+C56+C60+C65</f>
        <v>108192.88461538462</v>
      </c>
      <c r="D67" s="19">
        <f>B67/C67-1</f>
        <v>3.1112169682706803E-2</v>
      </c>
      <c r="E67" s="18">
        <f>+E56+E60+E65</f>
        <v>122305</v>
      </c>
      <c r="F67" s="18">
        <f>+F56+F60+F65</f>
        <v>0</v>
      </c>
      <c r="G67" s="19">
        <f>F67/B67</f>
        <v>0</v>
      </c>
      <c r="H67" s="19">
        <f>SUM(Resultats!$J$81:$J$86)/SUM(Resultats!$N$81:$N$86)</f>
        <v>0.61038961038961037</v>
      </c>
      <c r="I67" s="18">
        <f>+I56+I60+I65</f>
        <v>273</v>
      </c>
      <c r="J67" s="21">
        <f>+J56+J60+J65</f>
        <v>265.38461538461536</v>
      </c>
      <c r="K67" s="18">
        <f>+K56+K60+K65</f>
        <v>318</v>
      </c>
      <c r="L67" s="21">
        <f>+L56+L60+L65</f>
        <v>276.88461538461536</v>
      </c>
      <c r="M67" s="22">
        <f>P67/K67</f>
        <v>13.449685534591195</v>
      </c>
      <c r="N67" s="22">
        <f>B67/K67</f>
        <v>350.81446540880501</v>
      </c>
      <c r="O67" s="22">
        <f>B67/P67</f>
        <v>26.083469721767592</v>
      </c>
      <c r="P67" s="18">
        <f>+P56+P60+P65</f>
        <v>4277</v>
      </c>
      <c r="Q67" s="18">
        <f>+Q56+Q60+Q65</f>
        <v>3675.5769230769229</v>
      </c>
      <c r="R67" s="19">
        <f>P67/Q67-1</f>
        <v>0.16362685083451067</v>
      </c>
      <c r="S67" s="10">
        <f>+S56+S60+S65</f>
        <v>4277</v>
      </c>
      <c r="T67" s="10">
        <f>+T56+T60+T65</f>
        <v>7007</v>
      </c>
    </row>
    <row r="68" spans="1:20" ht="17.25" customHeight="1" x14ac:dyDescent="0.25">
      <c r="B68" s="38"/>
      <c r="C68" s="38"/>
      <c r="D68" s="39"/>
      <c r="E68" s="38"/>
      <c r="F68" s="38"/>
      <c r="G68" s="39"/>
      <c r="H68" s="39"/>
      <c r="I68" s="38"/>
      <c r="J68" s="50"/>
      <c r="K68" s="38"/>
      <c r="L68" s="50"/>
      <c r="M68" s="40"/>
      <c r="N68" s="40"/>
      <c r="O68" s="40"/>
      <c r="P68" s="38"/>
      <c r="Q68" s="38"/>
      <c r="R68" s="39"/>
      <c r="S68" s="10"/>
      <c r="T68" s="10"/>
    </row>
    <row r="69" spans="1:20" ht="17.25" customHeight="1" x14ac:dyDescent="0.25">
      <c r="A69" s="23" t="s">
        <v>384</v>
      </c>
      <c r="B69" s="18">
        <f>+Resultats!$AG$100+Resultats!$AQ$100+Resultats!$AR$100+Resultats!$AS$100+Resultats!$AT$100</f>
        <v>15330</v>
      </c>
      <c r="C69" s="18">
        <f>E69/CALCUL_DATE!$B$1*CALCUL_DATE!$B$2</f>
        <v>17230.538461538461</v>
      </c>
      <c r="D69" s="19">
        <f>B69/C69-1</f>
        <v>-0.11030058438282653</v>
      </c>
      <c r="E69" s="18">
        <f>+Resultats_N1!$AG$100+Resultats_N1!$AQ$100+Resultats_N1!$AR$100+Resultats_N1!$AS$100+Resultats_N1!$AT$100</f>
        <v>19478</v>
      </c>
      <c r="F69" s="18">
        <f>Resultats!$T$100</f>
        <v>0</v>
      </c>
      <c r="G69" s="19">
        <f>F69/B69</f>
        <v>0</v>
      </c>
      <c r="H69" s="20">
        <f>(Resultats!$J$100)/(Resultats!$N$100)</f>
        <v>0.80039138943248533</v>
      </c>
      <c r="I69" s="17">
        <f>Resultats!$AP$100</f>
        <v>37</v>
      </c>
      <c r="J69" s="21">
        <f>Resultats_N1!$AP$100/CALCUL_DATE!$B$1*CALCUL_DATE!$B$2</f>
        <v>59.269230769230774</v>
      </c>
      <c r="K69" s="17">
        <f>Resultats!$AD$100</f>
        <v>38</v>
      </c>
      <c r="L69" s="21">
        <f>Resultats_N1!$AD$100/CALCUL_DATE!$B$1*CALCUL_DATE!$B$2</f>
        <v>61.923076923076927</v>
      </c>
      <c r="M69" s="22">
        <f>P69/K69</f>
        <v>10.763157894736842</v>
      </c>
      <c r="N69" s="22">
        <f>B69/K69</f>
        <v>403.42105263157896</v>
      </c>
      <c r="O69" s="22">
        <f>B69/P69</f>
        <v>37.481662591687041</v>
      </c>
      <c r="P69" s="18">
        <f>+Resultats!$AJ$100</f>
        <v>409</v>
      </c>
      <c r="Q69" s="18">
        <f>+Resultats_N1!$AJ$100/CALCUL_DATE!$B$1*CALCUL_DATE!$B$2</f>
        <v>457.34615384615381</v>
      </c>
      <c r="R69" s="19">
        <f>P69/Q69-1</f>
        <v>-0.10571020099234707</v>
      </c>
      <c r="S69" s="10">
        <f>+Resultats!$J$100</f>
        <v>409</v>
      </c>
      <c r="T69" s="10">
        <f>+Resultats!$N$100</f>
        <v>511</v>
      </c>
    </row>
    <row r="71" spans="1:20" ht="17.25" customHeight="1" x14ac:dyDescent="0.25">
      <c r="A71" s="17" t="s">
        <v>292</v>
      </c>
      <c r="B71" s="18">
        <f>+B10+B25+B40+B52+B67+B69</f>
        <v>906664</v>
      </c>
      <c r="C71" s="18">
        <f>+C10+C25+C40+C52+C67+C69</f>
        <v>849612.92307692301</v>
      </c>
      <c r="D71" s="19">
        <f>B71/C71-1</f>
        <v>6.7149492873134653E-2</v>
      </c>
      <c r="E71" s="18">
        <f>+E10+E25+E40+E52+E67+E69</f>
        <v>960432</v>
      </c>
      <c r="F71" s="18">
        <f>+F10+F25+F40+F52+F67+F69</f>
        <v>403</v>
      </c>
      <c r="G71" s="19">
        <f>F71/B71</f>
        <v>4.444866014311807E-4</v>
      </c>
      <c r="H71" s="19">
        <f>SUM(Resultats!$J$53:$J$86)/SUM(Resultats!$N$53:$N$86)</f>
        <v>0.69188749714169562</v>
      </c>
      <c r="I71" s="18">
        <f>+I10+I25+I40+I52+I67+I69</f>
        <v>2291</v>
      </c>
      <c r="J71" s="18">
        <f>+J10+J25+J40+J52+J67+J69</f>
        <v>2245.1538461538462</v>
      </c>
      <c r="K71" s="18">
        <f>+K10+K25+K40+K52+K67+K69</f>
        <v>2369</v>
      </c>
      <c r="L71" s="18">
        <f>+L10+L25+L40+L52+L67+L69</f>
        <v>2338.9230769230771</v>
      </c>
      <c r="M71" s="22">
        <f>P71/K71</f>
        <v>11.680455888560575</v>
      </c>
      <c r="N71" s="22">
        <f>B71/K71</f>
        <v>382.72013507809203</v>
      </c>
      <c r="O71" s="22">
        <f>B71/P71</f>
        <v>32.765855950272851</v>
      </c>
      <c r="P71" s="18">
        <f>+P10+P25+P40+P52+P67+P69</f>
        <v>27671</v>
      </c>
      <c r="Q71" s="18">
        <f>+Q10+Q25+Q40+Q52+Q67+Q69</f>
        <v>27500.038461538457</v>
      </c>
      <c r="R71" s="19">
        <f>P71/Q71-1</f>
        <v>6.216774521993873E-3</v>
      </c>
      <c r="S71" s="10">
        <f>+S10+S25+S40+S52+S67</f>
        <v>27648</v>
      </c>
      <c r="T71" s="10">
        <f>+T10+T25+T40+T52+T67</f>
        <v>39761</v>
      </c>
    </row>
  </sheetData>
  <pageMargins left="0.23622047244094491" right="0.23622047244094491" top="0.74803149606299213" bottom="0.74803149606299213" header="0.31496062992125984" footer="0.31496062992125984"/>
  <pageSetup paperSize="9" scale="68" fitToHeight="0" orientation="landscape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AA71"/>
  <sheetViews>
    <sheetView zoomScale="70" zoomScaleNormal="7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28.85546875" style="12" bestFit="1" customWidth="1"/>
    <col min="2" max="2" width="12.85546875" style="12" customWidth="1"/>
    <col min="3" max="3" width="13.5703125" style="12" customWidth="1"/>
    <col min="4" max="4" width="14.42578125" style="13" bestFit="1" customWidth="1"/>
    <col min="5" max="5" width="13.42578125" style="12" bestFit="1" customWidth="1"/>
    <col min="6" max="6" width="11.140625" style="12" customWidth="1"/>
    <col min="7" max="7" width="13" style="12" bestFit="1" customWidth="1"/>
    <col min="8" max="8" width="11.140625" style="13" bestFit="1" customWidth="1"/>
    <col min="9" max="9" width="8.85546875" style="12" customWidth="1"/>
    <col min="10" max="10" width="10.140625" style="12" bestFit="1" customWidth="1"/>
    <col min="11" max="11" width="7.42578125" style="12" bestFit="1" customWidth="1"/>
    <col min="12" max="12" width="8.85546875" style="12" bestFit="1" customWidth="1"/>
    <col min="13" max="13" width="9.5703125" style="12" bestFit="1" customWidth="1"/>
    <col min="14" max="14" width="11.140625" style="12" customWidth="1"/>
    <col min="15" max="15" width="9.42578125" style="12" customWidth="1"/>
    <col min="16" max="16" width="8.85546875" style="12" customWidth="1"/>
    <col min="17" max="17" width="12.140625" style="12" customWidth="1"/>
    <col min="18" max="18" width="12.42578125" style="12" customWidth="1"/>
    <col min="19" max="19" width="23.42578125" style="12" hidden="1" customWidth="1"/>
    <col min="20" max="20" width="34.42578125" style="12" hidden="1" customWidth="1"/>
    <col min="21" max="21" width="24.85546875" style="12" hidden="1" customWidth="1"/>
    <col min="22" max="16384" width="11.42578125" style="12"/>
  </cols>
  <sheetData>
    <row r="1" spans="1:27" ht="69" customHeight="1" x14ac:dyDescent="0.35">
      <c r="A1" s="26" t="s">
        <v>398</v>
      </c>
      <c r="B1" s="29" t="s">
        <v>389</v>
      </c>
      <c r="C1" s="29" t="s">
        <v>260</v>
      </c>
      <c r="D1" s="30" t="s">
        <v>261</v>
      </c>
      <c r="E1" s="29" t="s">
        <v>262</v>
      </c>
      <c r="F1" s="29" t="s">
        <v>254</v>
      </c>
      <c r="G1" s="29" t="s">
        <v>263</v>
      </c>
      <c r="H1" s="28" t="s">
        <v>264</v>
      </c>
      <c r="I1" s="27" t="s">
        <v>255</v>
      </c>
      <c r="J1" s="27" t="s">
        <v>265</v>
      </c>
      <c r="K1" s="27" t="s">
        <v>256</v>
      </c>
      <c r="L1" s="27" t="s">
        <v>266</v>
      </c>
      <c r="M1" s="27" t="s">
        <v>257</v>
      </c>
      <c r="N1" s="29" t="s">
        <v>258</v>
      </c>
      <c r="O1" s="29" t="s">
        <v>259</v>
      </c>
      <c r="P1" s="27" t="s">
        <v>267</v>
      </c>
      <c r="Q1" s="27" t="s">
        <v>268</v>
      </c>
      <c r="R1" s="27" t="s">
        <v>269</v>
      </c>
      <c r="S1" t="s">
        <v>8</v>
      </c>
      <c r="T1" t="s">
        <v>13</v>
      </c>
      <c r="V1" s="11"/>
      <c r="W1" s="11"/>
      <c r="X1" s="11"/>
      <c r="Y1" s="11"/>
      <c r="Z1" s="11"/>
      <c r="AA1" s="11"/>
    </row>
    <row r="2" spans="1:27" ht="17.25" customHeight="1" x14ac:dyDescent="0.25">
      <c r="A2" s="23" t="s">
        <v>65</v>
      </c>
      <c r="B2" s="18">
        <f>VP!B2+VU!B2</f>
        <v>145612</v>
      </c>
      <c r="C2" s="18">
        <f>E2/CALCUL_DATE!$B$1*CALCUL_DATE!$B$2</f>
        <v>114280.8076923077</v>
      </c>
      <c r="D2" s="19">
        <f>B2/C2-1</f>
        <v>0.27415970310648419</v>
      </c>
      <c r="E2" s="18">
        <f>VP!E2+VU!E2</f>
        <v>129187</v>
      </c>
      <c r="F2" s="18">
        <f>VP!F2+VU!F2</f>
        <v>1591</v>
      </c>
      <c r="G2" s="19">
        <f>F2/B2</f>
        <v>1.0926297283190946E-2</v>
      </c>
      <c r="H2" s="20">
        <f>+S2/T2</f>
        <v>0.62071967498549041</v>
      </c>
      <c r="I2" s="17">
        <f>VP!I2+VU!I2</f>
        <v>422</v>
      </c>
      <c r="J2" s="21">
        <f>VP!J2+VU!J2</f>
        <v>334.38461538461536</v>
      </c>
      <c r="K2" s="17">
        <f>VP!K2+VU!K2</f>
        <v>450</v>
      </c>
      <c r="L2" s="21">
        <f>VP!L2+VU!L2</f>
        <v>370.65384615384619</v>
      </c>
      <c r="M2" s="22">
        <f>P2/K2</f>
        <v>9.56</v>
      </c>
      <c r="N2" s="22">
        <f>B2/K2</f>
        <v>323.58222222222224</v>
      </c>
      <c r="O2" s="22">
        <f>B2/P2</f>
        <v>33.847512784751281</v>
      </c>
      <c r="P2" s="18">
        <f>VP!P2+VU!P2</f>
        <v>4302</v>
      </c>
      <c r="Q2" s="18">
        <f>VP!Q2+VU!Q2</f>
        <v>3494.2307692307691</v>
      </c>
      <c r="R2" s="19">
        <f>P2/Q2-1</f>
        <v>0.23117226197028073</v>
      </c>
      <c r="S2" s="10">
        <f>VP!S2+VU!S2</f>
        <v>4278</v>
      </c>
      <c r="T2" s="10">
        <f>VP!T2+VU!T2</f>
        <v>6892</v>
      </c>
      <c r="U2" s="13"/>
    </row>
    <row r="3" spans="1:27" ht="17.25" customHeight="1" x14ac:dyDescent="0.25">
      <c r="A3" s="23" t="s">
        <v>112</v>
      </c>
      <c r="B3" s="18">
        <f>VP!B3+VU!B3</f>
        <v>5610</v>
      </c>
      <c r="C3" s="18">
        <f>E3/CALCUL_DATE!$B$1*CALCUL_DATE!$B$2</f>
        <v>5249.3076923076924</v>
      </c>
      <c r="D3" s="19">
        <f>B3/C3-1</f>
        <v>6.8712357673539337E-2</v>
      </c>
      <c r="E3" s="18">
        <f>VP!E3+VU!E3</f>
        <v>5934</v>
      </c>
      <c r="F3" s="18">
        <f>VP!F3+VU!F3</f>
        <v>65</v>
      </c>
      <c r="G3" s="19">
        <f>F3/B3</f>
        <v>1.1586452762923352E-2</v>
      </c>
      <c r="H3" s="20">
        <f>+S3/T3</f>
        <v>0.27342256214149141</v>
      </c>
      <c r="I3" s="17">
        <f>VP!I3+VU!I3</f>
        <v>25</v>
      </c>
      <c r="J3" s="21">
        <f>VP!J3+VU!J3</f>
        <v>27.423076923076923</v>
      </c>
      <c r="K3" s="17">
        <f>VP!K3+VU!K3</f>
        <v>27</v>
      </c>
      <c r="L3" s="21">
        <f>VP!L3+VU!L3</f>
        <v>26.538461538461537</v>
      </c>
      <c r="M3" s="22">
        <f>P3/K3</f>
        <v>5.333333333333333</v>
      </c>
      <c r="N3" s="22">
        <f>B3/K3</f>
        <v>207.77777777777777</v>
      </c>
      <c r="O3" s="22">
        <f>B3/P3</f>
        <v>38.958333333333336</v>
      </c>
      <c r="P3" s="18">
        <f>VP!P3+VU!P3</f>
        <v>144</v>
      </c>
      <c r="Q3" s="18">
        <f>VP!Q3+VU!Q3</f>
        <v>173.38461538461539</v>
      </c>
      <c r="R3" s="19">
        <f>P3/Q3-1</f>
        <v>-0.16947648624667255</v>
      </c>
      <c r="S3" s="10">
        <f>VP!S3+VU!S3</f>
        <v>143</v>
      </c>
      <c r="T3" s="10">
        <f>VP!T3+VU!T3</f>
        <v>523</v>
      </c>
    </row>
    <row r="4" spans="1:27" ht="17.25" customHeight="1" x14ac:dyDescent="0.25">
      <c r="A4" s="23" t="s">
        <v>106</v>
      </c>
      <c r="B4" s="18">
        <f>VP!B4+VU!B4</f>
        <v>7821</v>
      </c>
      <c r="C4" s="18">
        <f>E4/CALCUL_DATE!$B$1*CALCUL_DATE!$B$2</f>
        <v>5677.4615384615381</v>
      </c>
      <c r="D4" s="19">
        <f>B4/C4-1</f>
        <v>0.37755226469034109</v>
      </c>
      <c r="E4" s="18">
        <f>VP!E4+VU!E4</f>
        <v>6418</v>
      </c>
      <c r="F4" s="18">
        <f>VP!F4+VU!F4</f>
        <v>62</v>
      </c>
      <c r="G4" s="19">
        <f>F4/B4</f>
        <v>7.9273750159826115E-3</v>
      </c>
      <c r="H4" s="20">
        <f>+S4/T4</f>
        <v>0.35511713933415534</v>
      </c>
      <c r="I4" s="17">
        <f>VP!I4+VU!I4</f>
        <v>18</v>
      </c>
      <c r="J4" s="21">
        <f>VP!J4+VU!J4</f>
        <v>29.19230769230769</v>
      </c>
      <c r="K4" s="17">
        <f>VP!K4+VU!K4</f>
        <v>19</v>
      </c>
      <c r="L4" s="21">
        <f>VP!L4+VU!L4</f>
        <v>26.538461538461537</v>
      </c>
      <c r="M4" s="22">
        <f>P4/K4</f>
        <v>9.526315789473685</v>
      </c>
      <c r="N4" s="22">
        <f>B4/K4</f>
        <v>411.63157894736844</v>
      </c>
      <c r="O4" s="22">
        <f>B4/P4</f>
        <v>43.209944751381215</v>
      </c>
      <c r="P4" s="18">
        <f>VP!P4+VU!P4</f>
        <v>181</v>
      </c>
      <c r="Q4" s="18">
        <f>VP!Q4+VU!Q4</f>
        <v>165.42307692307691</v>
      </c>
      <c r="R4" s="19">
        <f>P4/Q4-1</f>
        <v>9.4164147872587867E-2</v>
      </c>
      <c r="S4" s="10">
        <f>VP!S4+VU!S4</f>
        <v>288</v>
      </c>
      <c r="T4" s="10">
        <f>VP!T4+VU!T4</f>
        <v>811</v>
      </c>
    </row>
    <row r="5" spans="1:27" ht="17.25" customHeight="1" x14ac:dyDescent="0.25">
      <c r="A5" s="17" t="s">
        <v>299</v>
      </c>
      <c r="B5" s="18">
        <f>SUM(B2:B4)</f>
        <v>159043</v>
      </c>
      <c r="C5" s="18">
        <f>SUM(C2:C4)</f>
        <v>125207.57692307692</v>
      </c>
      <c r="D5" s="19">
        <f>B5/C5-1</f>
        <v>0.27023462883328819</v>
      </c>
      <c r="E5" s="18">
        <f>SUM(E2:E4)</f>
        <v>141539</v>
      </c>
      <c r="F5" s="18">
        <f>SUM(F2:F4)</f>
        <v>1718</v>
      </c>
      <c r="G5" s="19">
        <f>F5/B5</f>
        <v>1.0802110121162202E-2</v>
      </c>
      <c r="H5" s="19">
        <f>+S5/T5</f>
        <v>0.57245319717967424</v>
      </c>
      <c r="I5" s="18">
        <f>SUM(I2:I4)</f>
        <v>465</v>
      </c>
      <c r="J5" s="21">
        <f>SUM(J2:J4)</f>
        <v>390.99999999999994</v>
      </c>
      <c r="K5" s="18">
        <f>SUM(K2:K4)</f>
        <v>496</v>
      </c>
      <c r="L5" s="21">
        <f>SUM(L2:L4)</f>
        <v>423.73076923076928</v>
      </c>
      <c r="M5" s="22">
        <f>P5/K5</f>
        <v>9.3286290322580641</v>
      </c>
      <c r="N5" s="22">
        <f>B5/K5</f>
        <v>320.65120967741933</v>
      </c>
      <c r="O5" s="22">
        <f>B5/P5</f>
        <v>34.372811757078019</v>
      </c>
      <c r="P5" s="18">
        <f>SUM(P2:P4)</f>
        <v>4627</v>
      </c>
      <c r="Q5" s="18">
        <f>SUM(Q2:Q4)</f>
        <v>3833.038461538461</v>
      </c>
      <c r="R5" s="19">
        <f>P5/Q5-1</f>
        <v>0.20713633490201611</v>
      </c>
      <c r="S5" s="10">
        <f>SUM(S2:S4)</f>
        <v>4709</v>
      </c>
      <c r="T5" s="10">
        <f>SUM(T2:T4)</f>
        <v>8226</v>
      </c>
    </row>
    <row r="6" spans="1:27" x14ac:dyDescent="0.25">
      <c r="J6" s="15"/>
      <c r="L6" s="15"/>
      <c r="Q6" s="10"/>
    </row>
    <row r="7" spans="1:27" ht="17.25" customHeight="1" x14ac:dyDescent="0.25">
      <c r="A7" s="23" t="s">
        <v>69</v>
      </c>
      <c r="B7" s="18">
        <f>VP!B7+VU!B7</f>
        <v>67595</v>
      </c>
      <c r="C7" s="18">
        <f>E7/CALCUL_DATE!$B$1*CALCUL_DATE!$B$2</f>
        <v>55031.038461538461</v>
      </c>
      <c r="D7" s="19">
        <f>B7/C7-1</f>
        <v>0.22830682265322988</v>
      </c>
      <c r="E7" s="18">
        <f>VP!E7+VU!E7</f>
        <v>62209</v>
      </c>
      <c r="F7" s="18">
        <f>VP!F7+VU!F7</f>
        <v>762</v>
      </c>
      <c r="G7" s="19">
        <f>F7/B7</f>
        <v>1.1273023152600044E-2</v>
      </c>
      <c r="H7" s="20">
        <f>+S7/T7</f>
        <v>0.615866388308977</v>
      </c>
      <c r="I7" s="17">
        <f>VP!I7+VU!I7</f>
        <v>210</v>
      </c>
      <c r="J7" s="21">
        <f>VP!J7+VU!J7</f>
        <v>190.19230769230771</v>
      </c>
      <c r="K7" s="17">
        <f>VP!K7+VU!K7</f>
        <v>211</v>
      </c>
      <c r="L7" s="21">
        <f>VP!L7+VU!L7</f>
        <v>182.23076923076923</v>
      </c>
      <c r="M7" s="22">
        <f>P7/K7</f>
        <v>8.5260663507109005</v>
      </c>
      <c r="N7" s="22">
        <f>B7/K7</f>
        <v>320.35545023696682</v>
      </c>
      <c r="O7" s="22">
        <f>B7/P7</f>
        <v>37.573652028904945</v>
      </c>
      <c r="P7" s="18">
        <f>VP!P7+VU!P7</f>
        <v>1799</v>
      </c>
      <c r="Q7" s="18">
        <f>VP!Q7+VU!Q7</f>
        <v>1409.1923076923076</v>
      </c>
      <c r="R7" s="19">
        <f>P7/Q7-1</f>
        <v>0.27661781162149635</v>
      </c>
      <c r="S7" s="10">
        <f>VP!S7+VU!S7</f>
        <v>1770</v>
      </c>
      <c r="T7" s="10">
        <f>VP!T7+VU!T7</f>
        <v>2874</v>
      </c>
    </row>
    <row r="8" spans="1:27" ht="17.25" customHeight="1" x14ac:dyDescent="0.25">
      <c r="A8" s="23" t="s">
        <v>73</v>
      </c>
      <c r="B8" s="18">
        <f>VP!B8+VU!B8</f>
        <v>99711</v>
      </c>
      <c r="C8" s="18">
        <f>E8/CALCUL_DATE!$B$1*CALCUL_DATE!$B$2</f>
        <v>72363.307692307688</v>
      </c>
      <c r="D8" s="19">
        <f>B8/C8-1</f>
        <v>0.37792208758582513</v>
      </c>
      <c r="E8" s="18">
        <f>VP!E8+VU!E8</f>
        <v>81802</v>
      </c>
      <c r="F8" s="18">
        <f>VP!F8+VU!F8</f>
        <v>144</v>
      </c>
      <c r="G8" s="19">
        <f>F8/B8</f>
        <v>1.4441736618828415E-3</v>
      </c>
      <c r="H8" s="20">
        <f>+S8/T8</f>
        <v>0.62454873646209386</v>
      </c>
      <c r="I8" s="17">
        <f>VP!I8+VU!I8</f>
        <v>289</v>
      </c>
      <c r="J8" s="21">
        <f>VP!J8+VU!J8</f>
        <v>253.88461538461539</v>
      </c>
      <c r="K8" s="17">
        <f>VP!K8+VU!K8</f>
        <v>298</v>
      </c>
      <c r="L8" s="21">
        <f>VP!L8+VU!L8</f>
        <v>239.73076923076923</v>
      </c>
      <c r="M8" s="22">
        <f>P8/K8</f>
        <v>8.7214765100671148</v>
      </c>
      <c r="N8" s="22">
        <f>B8/K8</f>
        <v>334.6006711409396</v>
      </c>
      <c r="O8" s="22">
        <f>B8/P8</f>
        <v>38.365140438630242</v>
      </c>
      <c r="P8" s="18">
        <f>VP!P8+VU!P8</f>
        <v>2599</v>
      </c>
      <c r="Q8" s="18">
        <f>VP!Q8+VU!Q8</f>
        <v>2049.6538461538457</v>
      </c>
      <c r="R8" s="19">
        <f>P8/Q8-1</f>
        <v>0.26801899007337093</v>
      </c>
      <c r="S8" s="10">
        <f>VP!S8+VU!S8</f>
        <v>2595</v>
      </c>
      <c r="T8" s="10">
        <f>VP!T8+VU!T8</f>
        <v>4155</v>
      </c>
    </row>
    <row r="9" spans="1:27" x14ac:dyDescent="0.25">
      <c r="J9" s="15"/>
      <c r="L9" s="15"/>
      <c r="Q9" s="10"/>
    </row>
    <row r="10" spans="1:27" ht="17.25" customHeight="1" x14ac:dyDescent="0.25">
      <c r="A10" s="41" t="s">
        <v>203</v>
      </c>
      <c r="B10" s="18">
        <f>+B5+B7+B8</f>
        <v>326349</v>
      </c>
      <c r="C10" s="18">
        <f>+C5+C7+C8</f>
        <v>252601.92307692306</v>
      </c>
      <c r="D10" s="19">
        <f>B10/C10-1</f>
        <v>0.29194978416937567</v>
      </c>
      <c r="E10" s="18">
        <f>+E5+E7+E8</f>
        <v>285550</v>
      </c>
      <c r="F10" s="18">
        <f>+F5+F7+F8</f>
        <v>2624</v>
      </c>
      <c r="G10" s="19">
        <f>F10/B10</f>
        <v>8.0404720100260771E-3</v>
      </c>
      <c r="H10" s="19">
        <f>+S10/T10</f>
        <v>0.59482137004260893</v>
      </c>
      <c r="I10" s="18">
        <f>+I5+I7+I8</f>
        <v>964</v>
      </c>
      <c r="J10" s="21">
        <f>+J5+J7+J8</f>
        <v>835.07692307692298</v>
      </c>
      <c r="K10" s="18">
        <f>+K5+K7+K8</f>
        <v>1005</v>
      </c>
      <c r="L10" s="21">
        <f>+L5+L7+L8</f>
        <v>845.69230769230785</v>
      </c>
      <c r="M10" s="22">
        <f>P10/K10</f>
        <v>8.9800995024875618</v>
      </c>
      <c r="N10" s="22">
        <f>B10/K10</f>
        <v>324.72537313432838</v>
      </c>
      <c r="O10" s="22">
        <f>B10/P10</f>
        <v>36.160554016620502</v>
      </c>
      <c r="P10" s="18">
        <f>+P5+P7+P8</f>
        <v>9025</v>
      </c>
      <c r="Q10" s="18">
        <f>+Q5+Q7+Q8</f>
        <v>7291.8846153846143</v>
      </c>
      <c r="R10" s="19">
        <f>P10/Q10-1</f>
        <v>0.23767729140403726</v>
      </c>
      <c r="S10" s="10">
        <f>+S5+S7+S8</f>
        <v>9074</v>
      </c>
      <c r="T10" s="10">
        <f>+T5+T7+T8</f>
        <v>15255</v>
      </c>
    </row>
    <row r="11" spans="1:27" x14ac:dyDescent="0.25">
      <c r="J11" s="15"/>
      <c r="L11" s="15"/>
      <c r="Q11" s="10"/>
    </row>
    <row r="12" spans="1:27" ht="17.25" customHeight="1" x14ac:dyDescent="0.25">
      <c r="A12" s="23" t="s">
        <v>297</v>
      </c>
      <c r="B12" s="18">
        <f>VP!B12+VU!B12</f>
        <v>425772</v>
      </c>
      <c r="C12" s="18">
        <f>E12/CALCUL_DATE!$B$1*CALCUL_DATE!$B$2</f>
        <v>258167.92307692309</v>
      </c>
      <c r="D12" s="19">
        <f>B12/C12-1</f>
        <v>0.64920566012044034</v>
      </c>
      <c r="E12" s="18">
        <f>VP!E12+VU!E12</f>
        <v>291842</v>
      </c>
      <c r="F12" s="18">
        <f>VP!F12+VU!F12</f>
        <v>214</v>
      </c>
      <c r="G12" s="19">
        <f>F12/B12</f>
        <v>5.0261642381368434E-4</v>
      </c>
      <c r="H12" s="20">
        <f>+S12/T12</f>
        <v>0.71637178865729523</v>
      </c>
      <c r="I12" s="17">
        <f>VP!I12+VU!I12</f>
        <v>761</v>
      </c>
      <c r="J12" s="21">
        <f>VP!J12+VU!J12</f>
        <v>574.11538461538464</v>
      </c>
      <c r="K12" s="17">
        <f>VP!K12+VU!K12</f>
        <v>744</v>
      </c>
      <c r="L12" s="21">
        <f>VP!L12+VU!L12</f>
        <v>543.15384615384619</v>
      </c>
      <c r="M12" s="22">
        <f>P12/K12</f>
        <v>15.896505376344086</v>
      </c>
      <c r="N12" s="22">
        <f>B12/K12</f>
        <v>572.27419354838707</v>
      </c>
      <c r="O12" s="22">
        <f>B12/P12</f>
        <v>36</v>
      </c>
      <c r="P12" s="18">
        <f>VP!P12+VU!P12</f>
        <v>11827</v>
      </c>
      <c r="Q12" s="18">
        <f>VP!Q12+VU!Q12</f>
        <v>8556.8846153846134</v>
      </c>
      <c r="R12" s="19">
        <f>P12/Q12-1</f>
        <v>0.3821619119107873</v>
      </c>
      <c r="S12" s="10">
        <f>VP!S12+VU!S12</f>
        <v>11823</v>
      </c>
      <c r="T12" s="10">
        <f>VP!T12+VU!T12</f>
        <v>16504</v>
      </c>
    </row>
    <row r="13" spans="1:27" ht="17.25" customHeight="1" x14ac:dyDescent="0.25">
      <c r="A13" s="23" t="s">
        <v>63</v>
      </c>
      <c r="B13" s="18">
        <f>VP!B13+VU!B13</f>
        <v>284887</v>
      </c>
      <c r="C13" s="18">
        <f>E13/CALCUL_DATE!$B$1*CALCUL_DATE!$B$2</f>
        <v>259539.07692307691</v>
      </c>
      <c r="D13" s="19">
        <f>B13/C13-1</f>
        <v>9.7665150764313591E-2</v>
      </c>
      <c r="E13" s="18">
        <f>VP!E13+VU!E13</f>
        <v>293392</v>
      </c>
      <c r="F13" s="18">
        <f>VP!F13+VU!F13</f>
        <v>471</v>
      </c>
      <c r="G13" s="19">
        <f>F13/B13</f>
        <v>1.6532870927771363E-3</v>
      </c>
      <c r="H13" s="20">
        <f>+S13/T13</f>
        <v>0.75979164579785641</v>
      </c>
      <c r="I13" s="17">
        <f>VP!I13+VU!I13</f>
        <v>791</v>
      </c>
      <c r="J13" s="21">
        <f>VP!J13+VU!J13</f>
        <v>824.46153846153857</v>
      </c>
      <c r="K13" s="17">
        <f>VP!K13+VU!K13</f>
        <v>796</v>
      </c>
      <c r="L13" s="21">
        <f>VP!L13+VU!L13</f>
        <v>788.19230769230762</v>
      </c>
      <c r="M13" s="22">
        <f>P13/K13</f>
        <v>9.566582914572864</v>
      </c>
      <c r="N13" s="22">
        <f>B13/K13</f>
        <v>357.89824120603015</v>
      </c>
      <c r="O13" s="22">
        <f>B13/P13</f>
        <v>37.4112934996717</v>
      </c>
      <c r="P13" s="18">
        <f>VP!P13+VU!P13</f>
        <v>7615</v>
      </c>
      <c r="Q13" s="18">
        <f>VP!Q13+VU!Q13</f>
        <v>7694.7692307692305</v>
      </c>
      <c r="R13" s="19">
        <f>P13/Q13-1</f>
        <v>-1.0366682661548277E-2</v>
      </c>
      <c r="S13" s="10">
        <f>VP!S13+VU!S13</f>
        <v>7585</v>
      </c>
      <c r="T13" s="10">
        <f>VP!T13+VU!T13</f>
        <v>9983</v>
      </c>
    </row>
    <row r="14" spans="1:27" x14ac:dyDescent="0.25">
      <c r="B14" s="10"/>
      <c r="C14" s="10"/>
      <c r="E14" s="10"/>
      <c r="F14" s="10"/>
      <c r="G14" s="13"/>
      <c r="H14" s="14"/>
      <c r="J14" s="15"/>
      <c r="L14" s="15"/>
      <c r="M14" s="16"/>
      <c r="N14" s="16"/>
      <c r="O14" s="16"/>
      <c r="P14" s="10"/>
      <c r="Q14" s="10"/>
      <c r="R14" s="13"/>
      <c r="S14" s="10"/>
      <c r="T14" s="10"/>
    </row>
    <row r="15" spans="1:27" ht="17.25" customHeight="1" x14ac:dyDescent="0.25">
      <c r="A15" s="23" t="s">
        <v>270</v>
      </c>
      <c r="B15" s="18">
        <f>VP!B15+VU!B15</f>
        <v>146798</v>
      </c>
      <c r="C15" s="18">
        <f>E15/CALCUL_DATE!$B$1*CALCUL_DATE!$B$2</f>
        <v>106535.11538461538</v>
      </c>
      <c r="D15" s="19">
        <f>B15/C15-1</f>
        <v>0.37793064258696951</v>
      </c>
      <c r="E15" s="18">
        <f>VP!E15+VU!E15</f>
        <v>120431</v>
      </c>
      <c r="F15" s="18">
        <f>VP!F15+VU!F15</f>
        <v>3012</v>
      </c>
      <c r="G15" s="19">
        <f>F15/B15</f>
        <v>2.0517990708320277E-2</v>
      </c>
      <c r="H15" s="20">
        <f>+S15/T15</f>
        <v>0.6060146575688653</v>
      </c>
      <c r="I15" s="17">
        <f>VP!I15+VU!I15</f>
        <v>795</v>
      </c>
      <c r="J15" s="21">
        <f>VP!J15+VU!J15</f>
        <v>644.88461538461536</v>
      </c>
      <c r="K15" s="17">
        <f>VP!K15+VU!K15</f>
        <v>779</v>
      </c>
      <c r="L15" s="21">
        <f>VP!L15+VU!L15</f>
        <v>635.15384615384619</v>
      </c>
      <c r="M15" s="22">
        <f>P15/K15</f>
        <v>3.1296534017971758</v>
      </c>
      <c r="N15" s="22">
        <f>B15/K15</f>
        <v>188.44415917843389</v>
      </c>
      <c r="O15" s="22">
        <f>B15/P15</f>
        <v>60.212469237079574</v>
      </c>
      <c r="P15" s="18">
        <f>VP!P15+VU!P15</f>
        <v>2438</v>
      </c>
      <c r="Q15" s="18">
        <f>VP!Q15+VU!Q15</f>
        <v>2312.3846153846157</v>
      </c>
      <c r="R15" s="19">
        <f>P15/Q15-1</f>
        <v>5.4322876817138432E-2</v>
      </c>
      <c r="S15" s="10">
        <f>VP!S15+VU!S15</f>
        <v>2398</v>
      </c>
      <c r="T15" s="10">
        <f>VP!T15+VU!T15</f>
        <v>3957</v>
      </c>
    </row>
    <row r="16" spans="1:27" ht="17.25" customHeight="1" x14ac:dyDescent="0.25">
      <c r="A16" s="23" t="s">
        <v>271</v>
      </c>
      <c r="B16" s="18">
        <f>VP!B16+VU!B16</f>
        <v>297026</v>
      </c>
      <c r="C16" s="18">
        <f>E16/CALCUL_DATE!$B$1*CALCUL_DATE!$B$2</f>
        <v>212449.23076923075</v>
      </c>
      <c r="D16" s="19">
        <f>B16/C16-1</f>
        <v>0.3981034382875186</v>
      </c>
      <c r="E16" s="18">
        <f>VP!E16+VU!E16</f>
        <v>240160</v>
      </c>
      <c r="F16" s="18">
        <f>VP!F16+VU!F16</f>
        <v>544</v>
      </c>
      <c r="G16" s="19">
        <f>F16/B16</f>
        <v>1.8314894992357571E-3</v>
      </c>
      <c r="H16" s="20">
        <f>+S16/T16</f>
        <v>0.82529362416107388</v>
      </c>
      <c r="I16" s="17">
        <f>VP!I16+VU!I16</f>
        <v>680</v>
      </c>
      <c r="J16" s="21">
        <f>VP!J16+VU!J16</f>
        <v>569.69230769230774</v>
      </c>
      <c r="K16" s="17">
        <f>VP!K16+VU!K16</f>
        <v>697</v>
      </c>
      <c r="L16" s="21">
        <f>VP!L16+VU!L16</f>
        <v>586.5</v>
      </c>
      <c r="M16" s="22">
        <f>P16/K16</f>
        <v>16.985652797704446</v>
      </c>
      <c r="N16" s="22">
        <f>B16/K16</f>
        <v>426.14921090387372</v>
      </c>
      <c r="O16" s="22">
        <f>B16/P16</f>
        <v>25.088774389728862</v>
      </c>
      <c r="P16" s="18">
        <f>VP!P16+VU!P16</f>
        <v>11839</v>
      </c>
      <c r="Q16" s="18">
        <f>VP!Q16+VU!Q16</f>
        <v>9989.961538461539</v>
      </c>
      <c r="R16" s="19">
        <f>P16/Q16-1</f>
        <v>0.18508964768479119</v>
      </c>
      <c r="S16" s="10">
        <f>VP!S16+VU!S16</f>
        <v>11805</v>
      </c>
      <c r="T16" s="10">
        <f>VP!T16+VU!T16</f>
        <v>14304</v>
      </c>
    </row>
    <row r="17" spans="1:20" ht="17.25" customHeight="1" x14ac:dyDescent="0.25">
      <c r="A17" s="17" t="s">
        <v>301</v>
      </c>
      <c r="B17" s="18">
        <f>SUM(B15:B16)</f>
        <v>443824</v>
      </c>
      <c r="C17" s="18">
        <f>SUM(C15:C16)</f>
        <v>318984.34615384613</v>
      </c>
      <c r="D17" s="19">
        <f>B17/C17-1</f>
        <v>0.39136608222757019</v>
      </c>
      <c r="E17" s="18">
        <f>SUM(E15:E16)</f>
        <v>360591</v>
      </c>
      <c r="F17" s="18">
        <f>SUM(F15:F16)</f>
        <v>3556</v>
      </c>
      <c r="G17" s="19">
        <f>F17/B17</f>
        <v>8.0121850102743437E-3</v>
      </c>
      <c r="H17" s="19">
        <f>+S17/T17</f>
        <v>0.77777777777777779</v>
      </c>
      <c r="I17" s="17">
        <f>SUM(I15:I16)</f>
        <v>1475</v>
      </c>
      <c r="J17" s="21">
        <f>SUM(J15:J16)</f>
        <v>1214.5769230769231</v>
      </c>
      <c r="K17" s="17">
        <f>SUM(K15:K16)</f>
        <v>1476</v>
      </c>
      <c r="L17" s="21">
        <f>SUM(L15:L16)</f>
        <v>1221.6538461538462</v>
      </c>
      <c r="M17" s="22">
        <f>P17/K17</f>
        <v>9.6727642276422756</v>
      </c>
      <c r="N17" s="22">
        <f>B17/K17</f>
        <v>300.69376693766935</v>
      </c>
      <c r="O17" s="22">
        <f>B17/P17</f>
        <v>31.086642852139807</v>
      </c>
      <c r="P17" s="21">
        <f>SUM(P15:P16)</f>
        <v>14277</v>
      </c>
      <c r="Q17" s="18">
        <f>SUM(Q15:Q16)</f>
        <v>12302.346153846154</v>
      </c>
      <c r="R17" s="19">
        <f>P17/Q17-1</f>
        <v>0.16051034668183983</v>
      </c>
      <c r="S17" s="15">
        <f>SUM(S15:S16)</f>
        <v>14203</v>
      </c>
      <c r="T17" s="15">
        <f>SUM(T15:T16)</f>
        <v>18261</v>
      </c>
    </row>
    <row r="18" spans="1:20" x14ac:dyDescent="0.25">
      <c r="B18" s="10"/>
      <c r="C18" s="10"/>
      <c r="E18" s="10"/>
      <c r="F18" s="10"/>
      <c r="G18" s="13"/>
      <c r="H18" s="14"/>
      <c r="J18" s="15"/>
      <c r="L18" s="15"/>
      <c r="M18" s="16"/>
      <c r="N18" s="16"/>
      <c r="O18" s="16"/>
      <c r="P18" s="10"/>
      <c r="Q18" s="10"/>
      <c r="R18" s="13"/>
      <c r="S18" s="10"/>
      <c r="T18" s="10"/>
    </row>
    <row r="19" spans="1:20" ht="17.25" customHeight="1" x14ac:dyDescent="0.25">
      <c r="A19" s="23" t="s">
        <v>104</v>
      </c>
      <c r="B19" s="18">
        <f>VP!B19+VU!B19</f>
        <v>70008</v>
      </c>
      <c r="C19" s="18">
        <f>E19/CALCUL_DATE!$B$1*CALCUL_DATE!$B$2</f>
        <v>45255.153846153844</v>
      </c>
      <c r="D19" s="19">
        <f>B19/C19-1</f>
        <v>0.54696192698834145</v>
      </c>
      <c r="E19" s="18">
        <f>VP!E19+VU!E19</f>
        <v>51158</v>
      </c>
      <c r="F19" s="18">
        <f>VP!F19+VU!F19</f>
        <v>1224</v>
      </c>
      <c r="G19" s="19">
        <f>F19/B19</f>
        <v>1.7483716146726089E-2</v>
      </c>
      <c r="H19" s="20">
        <f>+S19/T19</f>
        <v>0.63969035890218151</v>
      </c>
      <c r="I19" s="17">
        <f>VP!I19+VU!I19</f>
        <v>271</v>
      </c>
      <c r="J19" s="21">
        <f>VP!J19+VU!J19</f>
        <v>205.23076923076923</v>
      </c>
      <c r="K19" s="17">
        <f>VP!K19+VU!K19</f>
        <v>194</v>
      </c>
      <c r="L19" s="21">
        <f>VP!L19+VU!L19</f>
        <v>152.15384615384616</v>
      </c>
      <c r="M19" s="22">
        <f>P19/K19</f>
        <v>9.4742268041237114</v>
      </c>
      <c r="N19" s="22">
        <f>B19/K19</f>
        <v>360.86597938144331</v>
      </c>
      <c r="O19" s="22">
        <f>B19/P19</f>
        <v>38.089227421109904</v>
      </c>
      <c r="P19" s="18">
        <f>VP!P19+VU!P19</f>
        <v>1838</v>
      </c>
      <c r="Q19" s="18">
        <f>VP!Q19+VU!Q19</f>
        <v>1384.4230769230769</v>
      </c>
      <c r="R19" s="19">
        <f>P19/Q19-1</f>
        <v>0.32762883733851922</v>
      </c>
      <c r="S19" s="10">
        <f>VP!S19+VU!S19</f>
        <v>1818</v>
      </c>
      <c r="T19" s="10">
        <f>VP!T19+VU!T19</f>
        <v>2842</v>
      </c>
    </row>
    <row r="20" spans="1:20" x14ac:dyDescent="0.25">
      <c r="J20" s="15"/>
      <c r="L20" s="15"/>
      <c r="Q20" s="10"/>
    </row>
    <row r="21" spans="1:20" ht="17.25" customHeight="1" x14ac:dyDescent="0.25">
      <c r="A21" s="23" t="s">
        <v>61</v>
      </c>
      <c r="B21" s="18">
        <f>VP!B21+VU!B21</f>
        <v>66151</v>
      </c>
      <c r="C21" s="18">
        <f>E21/CALCUL_DATE!$B$1*CALCUL_DATE!$B$2</f>
        <v>55598.961538461539</v>
      </c>
      <c r="D21" s="19">
        <f>B21/C21-1</f>
        <v>0.18978840916370188</v>
      </c>
      <c r="E21" s="18">
        <f>VP!E21+VU!E21</f>
        <v>62851</v>
      </c>
      <c r="F21" s="18">
        <f>VP!F21+VU!F21</f>
        <v>578</v>
      </c>
      <c r="G21" s="19">
        <f>F21/B21</f>
        <v>8.7375852216897698E-3</v>
      </c>
      <c r="H21" s="20">
        <f>+S21/T21</f>
        <v>0.7104700854700855</v>
      </c>
      <c r="I21" s="17">
        <f>VP!I21+VU!I21</f>
        <v>187</v>
      </c>
      <c r="J21" s="21">
        <f>VP!J21+VU!J21</f>
        <v>188.42307692307691</v>
      </c>
      <c r="K21" s="17">
        <f>VP!K21+VU!K21</f>
        <v>191</v>
      </c>
      <c r="L21" s="21">
        <f>VP!L21+VU!L21</f>
        <v>171.61538461538461</v>
      </c>
      <c r="M21" s="22">
        <f>P21/K21</f>
        <v>10.518324607329843</v>
      </c>
      <c r="N21" s="22">
        <f>B21/K21</f>
        <v>346.34031413612564</v>
      </c>
      <c r="O21" s="22">
        <f>B21/P21</f>
        <v>32.927327028372325</v>
      </c>
      <c r="P21" s="18">
        <f>VP!P21+VU!P21</f>
        <v>2009</v>
      </c>
      <c r="Q21" s="18">
        <f>VP!Q21+VU!Q21</f>
        <v>1582.5769230769231</v>
      </c>
      <c r="R21" s="19">
        <f>P21/Q21-1</f>
        <v>0.26944856247114002</v>
      </c>
      <c r="S21" s="10">
        <f>VP!S21+VU!S21</f>
        <v>1995</v>
      </c>
      <c r="T21" s="10">
        <f>VP!T21+VU!T21</f>
        <v>2808</v>
      </c>
    </row>
    <row r="22" spans="1:20" ht="17.25" customHeight="1" x14ac:dyDescent="0.25">
      <c r="A22" s="23" t="s">
        <v>108</v>
      </c>
      <c r="B22" s="18">
        <f>VP!B22+VU!B22</f>
        <v>11108</v>
      </c>
      <c r="C22" s="18">
        <f>E22/CALCUL_DATE!$B$1*CALCUL_DATE!$B$2</f>
        <v>6667.3461538461534</v>
      </c>
      <c r="D22" s="19">
        <f>B22/C22-1</f>
        <v>0.66603019307647493</v>
      </c>
      <c r="E22" s="18">
        <f>VP!E22+VU!E22</f>
        <v>7537</v>
      </c>
      <c r="F22" s="18">
        <f>VP!F22+VU!F22</f>
        <v>62</v>
      </c>
      <c r="G22" s="19">
        <f>F22/B22</f>
        <v>5.5815628375945267E-3</v>
      </c>
      <c r="H22" s="20">
        <f>+S22/T22</f>
        <v>0.54563894523326573</v>
      </c>
      <c r="I22" s="17">
        <f>VP!I22+VU!I22</f>
        <v>39</v>
      </c>
      <c r="J22" s="21">
        <f>VP!J22+VU!J22</f>
        <v>25.653846153846153</v>
      </c>
      <c r="K22" s="17">
        <f>VP!K22+VU!K22</f>
        <v>49</v>
      </c>
      <c r="L22" s="21">
        <f>VP!L22+VU!L22</f>
        <v>25.653846153846157</v>
      </c>
      <c r="M22" s="22">
        <f>P22/K22</f>
        <v>5.5102040816326534</v>
      </c>
      <c r="N22" s="22">
        <f>B22/K22</f>
        <v>226.69387755102042</v>
      </c>
      <c r="O22" s="22">
        <f>B22/P22</f>
        <v>41.140740740740739</v>
      </c>
      <c r="P22" s="18">
        <f>VP!P22+VU!P22</f>
        <v>270</v>
      </c>
      <c r="Q22" s="18">
        <f>VP!Q22+VU!Q22</f>
        <v>177.80769230769229</v>
      </c>
      <c r="R22" s="19">
        <f>P22/Q22-1</f>
        <v>0.51849448410123311</v>
      </c>
      <c r="S22" s="10">
        <f>VP!S22+VU!S22</f>
        <v>269</v>
      </c>
      <c r="T22" s="10">
        <f>VP!T22+VU!T22</f>
        <v>493</v>
      </c>
    </row>
    <row r="23" spans="1:20" ht="17.25" customHeight="1" x14ac:dyDescent="0.25">
      <c r="A23" s="17" t="s">
        <v>300</v>
      </c>
      <c r="B23" s="18">
        <f>SUM(B21:B22)</f>
        <v>77259</v>
      </c>
      <c r="C23" s="18">
        <f>SUM(C21:C22)</f>
        <v>62266.307692307695</v>
      </c>
      <c r="D23" s="19">
        <f>B23/C23-1</f>
        <v>0.24078338451959436</v>
      </c>
      <c r="E23" s="18">
        <f>SUM(E21:E22)</f>
        <v>70388</v>
      </c>
      <c r="F23" s="18">
        <f>SUM(F21:F22)</f>
        <v>640</v>
      </c>
      <c r="G23" s="19">
        <f>F23/B23</f>
        <v>8.2838245382414986E-3</v>
      </c>
      <c r="H23" s="19">
        <f>+S23/T23</f>
        <v>0.68585277188730687</v>
      </c>
      <c r="I23" s="18">
        <f>SUM(I21:I22)</f>
        <v>226</v>
      </c>
      <c r="J23" s="21">
        <f>SUM(J21:J22)</f>
        <v>214.07692307692307</v>
      </c>
      <c r="K23" s="18">
        <f>SUM(K21:K22)</f>
        <v>240</v>
      </c>
      <c r="L23" s="21">
        <f>SUM(L21:L22)</f>
        <v>197.26923076923077</v>
      </c>
      <c r="M23" s="22">
        <f>P23/K23</f>
        <v>9.4958333333333336</v>
      </c>
      <c r="N23" s="22">
        <f>B23/K23</f>
        <v>321.91250000000002</v>
      </c>
      <c r="O23" s="22">
        <f>B23/P23</f>
        <v>33.90039491004827</v>
      </c>
      <c r="P23" s="18">
        <f>SUM(P21:P22)</f>
        <v>2279</v>
      </c>
      <c r="Q23" s="18">
        <f>SUM(Q21:Q22)</f>
        <v>1760.3846153846155</v>
      </c>
      <c r="R23" s="19">
        <f>P23/Q23-1</f>
        <v>0.29460345204282268</v>
      </c>
      <c r="S23" s="10">
        <f>SUM(S21:S22)</f>
        <v>2264</v>
      </c>
      <c r="T23" s="10">
        <f>SUM(T21:T22)</f>
        <v>3301</v>
      </c>
    </row>
    <row r="24" spans="1:20" s="37" customFormat="1" ht="17.25" customHeight="1" x14ac:dyDescent="0.25">
      <c r="B24" s="38"/>
      <c r="C24" s="38"/>
      <c r="D24" s="39"/>
      <c r="E24" s="38"/>
      <c r="F24" s="38"/>
      <c r="G24" s="39"/>
      <c r="H24" s="39"/>
      <c r="I24" s="38"/>
      <c r="J24" s="50"/>
      <c r="K24" s="38"/>
      <c r="L24" s="50"/>
      <c r="M24" s="40"/>
      <c r="N24" s="40"/>
      <c r="O24" s="40"/>
      <c r="P24" s="38"/>
      <c r="Q24" s="38"/>
      <c r="R24" s="39"/>
      <c r="S24" s="38"/>
      <c r="T24" s="38"/>
    </row>
    <row r="25" spans="1:20" ht="17.25" customHeight="1" x14ac:dyDescent="0.25">
      <c r="A25" s="41" t="s">
        <v>202</v>
      </c>
      <c r="B25" s="18">
        <f>SUM(B12:B13)+B17+B19+B23</f>
        <v>1301750</v>
      </c>
      <c r="C25" s="18">
        <f>SUM(C12:C13)+C17+C19+C23</f>
        <v>944212.80769230775</v>
      </c>
      <c r="D25" s="19">
        <f>B25/C25-1</f>
        <v>0.37866166333999085</v>
      </c>
      <c r="E25" s="18">
        <f>SUM(E12:E13)+E17+E19+E23</f>
        <v>1067371</v>
      </c>
      <c r="F25" s="18">
        <f>SUM(F12:F13)+F17+F19+F23</f>
        <v>6105</v>
      </c>
      <c r="G25" s="19">
        <f>F25/B25</f>
        <v>4.6898405991933935E-3</v>
      </c>
      <c r="H25" s="19">
        <f>+S25/T25</f>
        <v>0.74066141360947912</v>
      </c>
      <c r="I25" s="18">
        <f>SUM(I12:I13)+I17+I19+I23</f>
        <v>3524</v>
      </c>
      <c r="J25" s="21">
        <f>SUM(J12:J13)+J17+J19+J23</f>
        <v>3032.4615384615386</v>
      </c>
      <c r="K25" s="18">
        <f>SUM(K12:K13)+K17+K19+K23</f>
        <v>3450</v>
      </c>
      <c r="L25" s="21">
        <f>SUM(L12:L13)+L17+L19+L23</f>
        <v>2902.4230769230771</v>
      </c>
      <c r="M25" s="22">
        <f>P25/K25</f>
        <v>10.96695652173913</v>
      </c>
      <c r="N25" s="22">
        <f>B25/K25</f>
        <v>377.31884057971013</v>
      </c>
      <c r="O25" s="22">
        <f>B25/P25</f>
        <v>34.4050639602495</v>
      </c>
      <c r="P25" s="18">
        <f>SUM(P12:P13)+P17+P19+P23</f>
        <v>37836</v>
      </c>
      <c r="Q25" s="18">
        <f>SUM(Q12:Q13)+Q17+Q19+Q23</f>
        <v>31698.807692307695</v>
      </c>
      <c r="R25" s="19">
        <f>P25/Q25-1</f>
        <v>0.19360956308718236</v>
      </c>
      <c r="S25" s="18">
        <f>SUM(S12:S13)+S17+S19+S23</f>
        <v>37693</v>
      </c>
      <c r="T25" s="18">
        <f>SUM(T12:T13)+T17+T19+T23</f>
        <v>50891</v>
      </c>
    </row>
    <row r="26" spans="1:20" x14ac:dyDescent="0.25">
      <c r="J26" s="15"/>
      <c r="L26" s="15"/>
      <c r="Q26" s="10"/>
    </row>
    <row r="27" spans="1:20" ht="17.25" customHeight="1" x14ac:dyDescent="0.25">
      <c r="A27" s="23" t="s">
        <v>272</v>
      </c>
      <c r="B27" s="18">
        <f>VP!B27+VU!B27</f>
        <v>167669</v>
      </c>
      <c r="C27" s="18">
        <f>E27/CALCUL_DATE!$B$1*CALCUL_DATE!$B$2</f>
        <v>135428.42307692306</v>
      </c>
      <c r="D27" s="19">
        <f>B27/C27-1</f>
        <v>0.23806359249095266</v>
      </c>
      <c r="E27" s="18">
        <f>VP!E27+VU!E27</f>
        <v>153093</v>
      </c>
      <c r="F27" s="18">
        <f>VP!F27+VU!F27</f>
        <v>1497</v>
      </c>
      <c r="G27" s="19">
        <f>F27/B27</f>
        <v>8.9283051726914333E-3</v>
      </c>
      <c r="H27" s="20">
        <f>+S27/T27</f>
        <v>0.4419309230458493</v>
      </c>
      <c r="I27" s="17">
        <f>VP!I27+VU!I27</f>
        <v>643</v>
      </c>
      <c r="J27" s="21">
        <f>VP!J27+VU!J27</f>
        <v>561.73076923076917</v>
      </c>
      <c r="K27" s="17">
        <f>VP!K27+VU!K27</f>
        <v>620</v>
      </c>
      <c r="L27" s="21">
        <f>VP!L27+VU!L27</f>
        <v>500.69230769230762</v>
      </c>
      <c r="M27" s="22">
        <f>P27/K27</f>
        <v>6.7241935483870972</v>
      </c>
      <c r="N27" s="22">
        <f>B27/K27</f>
        <v>270.43387096774194</v>
      </c>
      <c r="O27" s="22">
        <f>B27/P27</f>
        <v>40.218037898776686</v>
      </c>
      <c r="P27" s="18">
        <f>VP!P27+VU!P27</f>
        <v>4169</v>
      </c>
      <c r="Q27" s="18">
        <f>VP!Q27+VU!Q27</f>
        <v>3912.6538461538466</v>
      </c>
      <c r="R27" s="19">
        <f>P27/Q27-1</f>
        <v>6.551720748262535E-2</v>
      </c>
      <c r="S27" s="10">
        <f>VP!S27+VU!S27</f>
        <v>4376</v>
      </c>
      <c r="T27" s="10">
        <f>VP!T27+VU!T27</f>
        <v>9902</v>
      </c>
    </row>
    <row r="28" spans="1:20" ht="17.25" customHeight="1" x14ac:dyDescent="0.25">
      <c r="A28" s="23" t="s">
        <v>324</v>
      </c>
      <c r="B28" s="18">
        <f>VP!B28+VU!B28</f>
        <v>18347</v>
      </c>
      <c r="C28" s="18">
        <f>E28/CALCUL_DATE!$B$1*CALCUL_DATE!$B$2</f>
        <v>11791.923076923078</v>
      </c>
      <c r="D28" s="19">
        <f>B28/C28-1</f>
        <v>0.55589549561303353</v>
      </c>
      <c r="E28" s="18">
        <f>VP!E28+VU!E28</f>
        <v>13330</v>
      </c>
      <c r="F28" s="18">
        <f>VP!F28+VU!F28</f>
        <v>997</v>
      </c>
      <c r="G28" s="19">
        <f>F28/B28</f>
        <v>5.4341309205864718E-2</v>
      </c>
      <c r="H28" s="20">
        <f>+S28/T28</f>
        <v>0.32782369146005508</v>
      </c>
      <c r="I28" s="17">
        <f>VP!I28+VU!I28</f>
        <v>105</v>
      </c>
      <c r="J28" s="21">
        <f>VP!J28+VU!J28</f>
        <v>60.153846153846153</v>
      </c>
      <c r="K28" s="17">
        <f>VP!K28+VU!K28</f>
        <v>94</v>
      </c>
      <c r="L28" s="21">
        <f>VP!L28+VU!L28</f>
        <v>59.269230769230774</v>
      </c>
      <c r="M28" s="22">
        <f>P28/K28</f>
        <v>2.7127659574468086</v>
      </c>
      <c r="N28" s="22">
        <f>B28/K28</f>
        <v>195.18085106382978</v>
      </c>
      <c r="O28" s="22">
        <f>B28/P28</f>
        <v>71.949019607843141</v>
      </c>
      <c r="P28" s="18">
        <f>VP!P28+VU!P28</f>
        <v>255</v>
      </c>
      <c r="Q28" s="18">
        <f>VP!Q28+VU!Q28</f>
        <v>191.96153846153848</v>
      </c>
      <c r="R28" s="19">
        <f>P28/Q28-1</f>
        <v>0.32839110398717675</v>
      </c>
      <c r="S28" s="10">
        <f>VP!S28+VU!S28</f>
        <v>238</v>
      </c>
      <c r="T28" s="10">
        <f>VP!T28+VU!T28</f>
        <v>726</v>
      </c>
    </row>
    <row r="29" spans="1:20" ht="17.25" customHeight="1" x14ac:dyDescent="0.25">
      <c r="A29" s="17" t="s">
        <v>273</v>
      </c>
      <c r="B29" s="18">
        <f>SUM(B27:B28)</f>
        <v>186016</v>
      </c>
      <c r="C29" s="18">
        <f>SUM(C27:C28)</f>
        <v>147220.34615384613</v>
      </c>
      <c r="D29" s="19">
        <f>B29/C29-1</f>
        <v>0.26352100684243873</v>
      </c>
      <c r="E29" s="18">
        <f>SUM(E27:E28)</f>
        <v>166423</v>
      </c>
      <c r="F29" s="18">
        <f>SUM(F27:F28)</f>
        <v>2494</v>
      </c>
      <c r="G29" s="19">
        <f>F29/B29</f>
        <v>1.3407448821606743E-2</v>
      </c>
      <c r="H29" s="19">
        <f>+S29/T29</f>
        <v>0.43413624388407979</v>
      </c>
      <c r="I29" s="18">
        <f>SUM(I27:I28)</f>
        <v>748</v>
      </c>
      <c r="J29" s="21">
        <f>SUM(J27:J28)</f>
        <v>621.88461538461536</v>
      </c>
      <c r="K29" s="18">
        <f>SUM(K27:K28)</f>
        <v>714</v>
      </c>
      <c r="L29" s="21">
        <f>SUM(L27:L28)</f>
        <v>559.96153846153834</v>
      </c>
      <c r="M29" s="22">
        <f>P29/K29</f>
        <v>6.1960784313725492</v>
      </c>
      <c r="N29" s="22">
        <f>B29/K29</f>
        <v>260.52661064425769</v>
      </c>
      <c r="O29" s="22">
        <f>B29/P29</f>
        <v>42.047016274864376</v>
      </c>
      <c r="P29" s="18">
        <f>SUM(P27:P28)</f>
        <v>4424</v>
      </c>
      <c r="Q29" s="18">
        <f>SUM(Q27:Q28)</f>
        <v>4104.6153846153848</v>
      </c>
      <c r="R29" s="19">
        <f>P29/Q29-1</f>
        <v>7.7811094452773677E-2</v>
      </c>
      <c r="S29" s="10">
        <f>SUM(S27:S28)</f>
        <v>4614</v>
      </c>
      <c r="T29" s="10">
        <f>SUM(T27:T28)</f>
        <v>10628</v>
      </c>
    </row>
    <row r="30" spans="1:20" x14ac:dyDescent="0.25">
      <c r="J30" s="15"/>
      <c r="L30" s="15"/>
      <c r="Q30" s="10"/>
    </row>
    <row r="31" spans="1:20" ht="17.25" customHeight="1" x14ac:dyDescent="0.25">
      <c r="A31" s="23" t="s">
        <v>274</v>
      </c>
      <c r="B31" s="18">
        <f>VP!B31+VU!B31</f>
        <v>89318</v>
      </c>
      <c r="C31" s="18">
        <f>E31/CALCUL_DATE!$B$1*CALCUL_DATE!$B$2</f>
        <v>60239.653846153851</v>
      </c>
      <c r="D31" s="19">
        <f>B31/C31-1</f>
        <v>0.48271104326245595</v>
      </c>
      <c r="E31" s="18">
        <f>VP!E31+VU!E31</f>
        <v>68097</v>
      </c>
      <c r="F31" s="18">
        <f>VP!F31+VU!F31</f>
        <v>6059</v>
      </c>
      <c r="G31" s="19">
        <f>F31/B31</f>
        <v>6.7836270404621687E-2</v>
      </c>
      <c r="H31" s="20">
        <f>+S31/T31</f>
        <v>0.74145431945307649</v>
      </c>
      <c r="I31" s="17">
        <f>VP!I31+VU!I31</f>
        <v>270</v>
      </c>
      <c r="J31" s="21">
        <f>VP!J31+VU!J31</f>
        <v>194.61538461538461</v>
      </c>
      <c r="K31" s="17">
        <f>VP!K31+VU!K31</f>
        <v>280</v>
      </c>
      <c r="L31" s="21">
        <f>VP!L31+VU!L31</f>
        <v>174.26923076923077</v>
      </c>
      <c r="M31" s="22">
        <f>P31/K31</f>
        <v>8.8607142857142858</v>
      </c>
      <c r="N31" s="22">
        <f>B31/K31</f>
        <v>318.99285714285713</v>
      </c>
      <c r="O31" s="22">
        <f>B31/P31</f>
        <v>36.000806126561869</v>
      </c>
      <c r="P31" s="18">
        <f>VP!P31+VU!P31</f>
        <v>2481</v>
      </c>
      <c r="Q31" s="18">
        <f>VP!Q31+VU!Q31</f>
        <v>1734.7307692307691</v>
      </c>
      <c r="R31" s="19">
        <f>P31/Q31-1</f>
        <v>0.43019311354011935</v>
      </c>
      <c r="S31" s="10">
        <f>VP!S31+VU!S31</f>
        <v>2386</v>
      </c>
      <c r="T31" s="10">
        <f>VP!T31+VU!T31</f>
        <v>3218</v>
      </c>
    </row>
    <row r="32" spans="1:20" ht="17.25" customHeight="1" x14ac:dyDescent="0.25">
      <c r="A32" s="23" t="s">
        <v>110</v>
      </c>
      <c r="B32" s="18">
        <f>VP!B32+VU!B32</f>
        <v>14612</v>
      </c>
      <c r="C32" s="18">
        <f>E32/CALCUL_DATE!$B$1*CALCUL_DATE!$B$2</f>
        <v>6480.6923076923076</v>
      </c>
      <c r="D32" s="19">
        <f>B32/C32-1</f>
        <v>1.2546973851321677</v>
      </c>
      <c r="E32" s="18">
        <f>VP!E32+VU!E32</f>
        <v>7326</v>
      </c>
      <c r="F32" s="18">
        <f>VP!F32+VU!F32</f>
        <v>0</v>
      </c>
      <c r="G32" s="19">
        <f>F32/B32</f>
        <v>0</v>
      </c>
      <c r="H32" s="20">
        <f>+S32/T32</f>
        <v>0.80482456140350878</v>
      </c>
      <c r="I32" s="17">
        <f>VP!I32+VU!I32</f>
        <v>19</v>
      </c>
      <c r="J32" s="21">
        <f>VP!J32+VU!J32</f>
        <v>17.692307692307693</v>
      </c>
      <c r="K32" s="17">
        <f>VP!K32+VU!K32</f>
        <v>30</v>
      </c>
      <c r="L32" s="21">
        <f>VP!L32+VU!L32</f>
        <v>19.46153846153846</v>
      </c>
      <c r="M32" s="22">
        <f>P32/K32</f>
        <v>12.233333333333333</v>
      </c>
      <c r="N32" s="22">
        <f>B32/K32</f>
        <v>487.06666666666666</v>
      </c>
      <c r="O32" s="22">
        <f>B32/P32</f>
        <v>39.814713896457768</v>
      </c>
      <c r="P32" s="18">
        <f>VP!P32+VU!P32</f>
        <v>367</v>
      </c>
      <c r="Q32" s="18">
        <f>VP!Q32+VU!Q32</f>
        <v>163.65384615384616</v>
      </c>
      <c r="R32" s="19">
        <f>P32/Q32-1</f>
        <v>1.2425381903642774</v>
      </c>
      <c r="S32" s="10">
        <f>VP!S32+VU!S32</f>
        <v>367</v>
      </c>
      <c r="T32" s="10">
        <f>VP!T32+VU!T32</f>
        <v>456</v>
      </c>
    </row>
    <row r="33" spans="1:20" ht="17.25" customHeight="1" x14ac:dyDescent="0.25">
      <c r="A33" s="23" t="s">
        <v>275</v>
      </c>
      <c r="B33" s="18">
        <f>VP!B33+VU!B33</f>
        <v>25452</v>
      </c>
      <c r="C33" s="18">
        <f>E33/CALCUL_DATE!$B$1*CALCUL_DATE!$B$2</f>
        <v>42083.807692307695</v>
      </c>
      <c r="D33" s="19">
        <f>B33/C33-1</f>
        <v>-0.39520681716611272</v>
      </c>
      <c r="E33" s="18">
        <f>VP!E33+VU!E33</f>
        <v>47573</v>
      </c>
      <c r="F33" s="18">
        <f>VP!F33+VU!F33</f>
        <v>1030</v>
      </c>
      <c r="G33" s="19">
        <f>F33/B33</f>
        <v>4.0468332547540467E-2</v>
      </c>
      <c r="H33" s="20">
        <f>+S33/T33</f>
        <v>0.41441937259218492</v>
      </c>
      <c r="I33" s="17">
        <f>VP!I33+VU!I33</f>
        <v>137</v>
      </c>
      <c r="J33" s="21">
        <f>VP!J33+VU!J33</f>
        <v>176.92307692307691</v>
      </c>
      <c r="K33" s="17">
        <f>VP!K33+VU!K33</f>
        <v>121</v>
      </c>
      <c r="L33" s="21">
        <f>VP!L33+VU!L33</f>
        <v>191.96153846153845</v>
      </c>
      <c r="M33" s="22">
        <f>P33/K33</f>
        <v>6.3636363636363633</v>
      </c>
      <c r="N33" s="22">
        <f>B33/K33</f>
        <v>210.34710743801654</v>
      </c>
      <c r="O33" s="22">
        <f>B33/P33</f>
        <v>33.054545454545455</v>
      </c>
      <c r="P33" s="18">
        <f>VP!P33+VU!P33</f>
        <v>770</v>
      </c>
      <c r="Q33" s="18">
        <f>VP!Q33+VU!Q33</f>
        <v>1020.8461538461538</v>
      </c>
      <c r="R33" s="19">
        <f>P33/Q33-1</f>
        <v>-0.24572375857132089</v>
      </c>
      <c r="S33" s="10">
        <f>VP!S33+VU!S33</f>
        <v>753</v>
      </c>
      <c r="T33" s="10">
        <f>VP!T33+VU!T33</f>
        <v>1817</v>
      </c>
    </row>
    <row r="34" spans="1:20" ht="17.25" customHeight="1" x14ac:dyDescent="0.25">
      <c r="A34" s="17" t="s">
        <v>276</v>
      </c>
      <c r="B34" s="18">
        <f>SUM(B31:B33)</f>
        <v>129382</v>
      </c>
      <c r="C34" s="18">
        <f>SUM(C31:C33)</f>
        <v>108804.15384615384</v>
      </c>
      <c r="D34" s="19">
        <f>B34/C34-1</f>
        <v>0.18912739474030271</v>
      </c>
      <c r="E34" s="18">
        <f>SUM(E31:E33)</f>
        <v>122996</v>
      </c>
      <c r="F34" s="18">
        <f>SUM(F31:F33)</f>
        <v>7089</v>
      </c>
      <c r="G34" s="19">
        <f>F34/B34</f>
        <v>5.4791238348456506E-2</v>
      </c>
      <c r="H34" s="19">
        <f>+S34/T34</f>
        <v>0.63849936259333451</v>
      </c>
      <c r="I34" s="18">
        <f>SUM(I31:I33)</f>
        <v>426</v>
      </c>
      <c r="J34" s="21">
        <f>SUM(J31:J33)</f>
        <v>389.23076923076923</v>
      </c>
      <c r="K34" s="18">
        <f>SUM(K31:K33)</f>
        <v>431</v>
      </c>
      <c r="L34" s="21">
        <f>SUM(L31:L33)</f>
        <v>385.69230769230768</v>
      </c>
      <c r="M34" s="22">
        <f>P34/K34</f>
        <v>8.3944315545243615</v>
      </c>
      <c r="N34" s="22">
        <f>B34/K34</f>
        <v>300.19025522041761</v>
      </c>
      <c r="O34" s="22">
        <f>B34/P34</f>
        <v>35.760641238253179</v>
      </c>
      <c r="P34" s="18">
        <f>SUM(P31:P33)</f>
        <v>3618</v>
      </c>
      <c r="Q34" s="18">
        <f>SUM(Q31:Q33)</f>
        <v>2919.2307692307691</v>
      </c>
      <c r="R34" s="19">
        <f>P34/Q34-1</f>
        <v>0.23936758893280641</v>
      </c>
      <c r="S34" s="10">
        <f>SUM(S31:S33)</f>
        <v>3506</v>
      </c>
      <c r="T34" s="10">
        <f>SUM(T31:T33)</f>
        <v>5491</v>
      </c>
    </row>
    <row r="35" spans="1:20" x14ac:dyDescent="0.25">
      <c r="J35" s="15"/>
      <c r="L35" s="15"/>
      <c r="Q35" s="10"/>
    </row>
    <row r="36" spans="1:20" ht="17.25" customHeight="1" x14ac:dyDescent="0.25">
      <c r="A36" s="23" t="s">
        <v>102</v>
      </c>
      <c r="B36" s="18">
        <f>VP!B36+VU!B36</f>
        <v>80098</v>
      </c>
      <c r="C36" s="18">
        <f>E36/CALCUL_DATE!$B$1*CALCUL_DATE!$B$2</f>
        <v>53027.38461538461</v>
      </c>
      <c r="D36" s="19">
        <f>B36/C36-1</f>
        <v>0.51050255600879679</v>
      </c>
      <c r="E36" s="18">
        <f>VP!E36+VU!E36</f>
        <v>59944</v>
      </c>
      <c r="F36" s="18">
        <f>VP!F36+VU!F36</f>
        <v>1306</v>
      </c>
      <c r="G36" s="19">
        <f>F36/B36</f>
        <v>1.6305026342730157E-2</v>
      </c>
      <c r="H36" s="20">
        <f>+S36/T36</f>
        <v>0.6269928532160528</v>
      </c>
      <c r="I36" s="17">
        <f>VP!I36+VU!I36</f>
        <v>267</v>
      </c>
      <c r="J36" s="21">
        <f>VP!J36+VU!J36</f>
        <v>212.30769230769229</v>
      </c>
      <c r="K36" s="17">
        <f>VP!K36+VU!K36</f>
        <v>282</v>
      </c>
      <c r="L36" s="21">
        <f>VP!L36+VU!L36</f>
        <v>220.26923076923077</v>
      </c>
      <c r="M36" s="22">
        <f>P36/K36</f>
        <v>8.1702127659574462</v>
      </c>
      <c r="N36" s="22">
        <f>B36/K36</f>
        <v>284.03546099290782</v>
      </c>
      <c r="O36" s="22">
        <f>B36/P36</f>
        <v>34.764756944444443</v>
      </c>
      <c r="P36" s="18">
        <f>VP!P36+VU!P36</f>
        <v>2304</v>
      </c>
      <c r="Q36" s="18">
        <f>VP!Q36+VU!Q36</f>
        <v>1634.7692307692309</v>
      </c>
      <c r="R36" s="19">
        <f>P36/Q36-1</f>
        <v>0.40937323546019178</v>
      </c>
      <c r="S36" s="10">
        <f>VP!S36+VU!S36</f>
        <v>2281</v>
      </c>
      <c r="T36" s="10">
        <f>VP!T36+VU!T36</f>
        <v>3638</v>
      </c>
    </row>
    <row r="37" spans="1:20" ht="17.25" customHeight="1" x14ac:dyDescent="0.25">
      <c r="A37" s="23" t="s">
        <v>55</v>
      </c>
      <c r="B37" s="18">
        <f>VP!B37+VU!B37</f>
        <v>23346</v>
      </c>
      <c r="C37" s="18">
        <f>E37/CALCUL_DATE!$B$1*CALCUL_DATE!$B$2</f>
        <v>20183.384615384617</v>
      </c>
      <c r="D37" s="19">
        <f>B37/C37-1</f>
        <v>0.15669400573205672</v>
      </c>
      <c r="E37" s="18">
        <f>VP!E37+VU!E37</f>
        <v>22816</v>
      </c>
      <c r="F37" s="18">
        <f>VP!F37+VU!F37</f>
        <v>621</v>
      </c>
      <c r="G37" s="19">
        <f>F37/B37</f>
        <v>2.6599845797995375E-2</v>
      </c>
      <c r="H37" s="20">
        <f>+S37/T37</f>
        <v>0.625</v>
      </c>
      <c r="I37" s="17">
        <f>VP!I37+VU!I37</f>
        <v>67</v>
      </c>
      <c r="J37" s="21">
        <f>VP!J37+VU!J37</f>
        <v>82.269230769230774</v>
      </c>
      <c r="K37" s="17">
        <f>VP!K37+VU!K37</f>
        <v>78</v>
      </c>
      <c r="L37" s="21">
        <f>VP!L37+VU!L37</f>
        <v>88.461538461538467</v>
      </c>
      <c r="M37" s="22">
        <f>P37/K37</f>
        <v>9.0256410256410255</v>
      </c>
      <c r="N37" s="22">
        <f>B37/K37</f>
        <v>299.30769230769232</v>
      </c>
      <c r="O37" s="22">
        <f>B37/P37</f>
        <v>33.16193181818182</v>
      </c>
      <c r="P37" s="18">
        <f>VP!P37+VU!P37</f>
        <v>704</v>
      </c>
      <c r="Q37" s="18">
        <f>VP!Q37+VU!Q37</f>
        <v>697.07692307692298</v>
      </c>
      <c r="R37" s="19">
        <f>P37/Q37-1</f>
        <v>9.9315824321344337E-3</v>
      </c>
      <c r="S37" s="10">
        <f>VP!S37+VU!S37</f>
        <v>685</v>
      </c>
      <c r="T37" s="10">
        <f>VP!T37+VU!T37</f>
        <v>1096</v>
      </c>
    </row>
    <row r="38" spans="1:20" ht="17.25" customHeight="1" x14ac:dyDescent="0.25">
      <c r="A38" s="17" t="s">
        <v>277</v>
      </c>
      <c r="B38" s="18">
        <f>SUM(B36:B37)</f>
        <v>103444</v>
      </c>
      <c r="C38" s="18">
        <f>SUM(C36:C37)</f>
        <v>73210.76923076922</v>
      </c>
      <c r="D38" s="19">
        <f>B38/C38-1</f>
        <v>0.41296152310504985</v>
      </c>
      <c r="E38" s="18">
        <f>SUM(E36:E37)</f>
        <v>82760</v>
      </c>
      <c r="F38" s="18">
        <f>SUM(F36:F37)</f>
        <v>1927</v>
      </c>
      <c r="G38" s="19">
        <f>F38/B38</f>
        <v>1.8628436642047871E-2</v>
      </c>
      <c r="H38" s="19">
        <f>+S38/T38</f>
        <v>0.62653147444021973</v>
      </c>
      <c r="I38" s="17">
        <f>SUM(I36:I37)</f>
        <v>334</v>
      </c>
      <c r="J38" s="21">
        <f>SUM(J36:J37)</f>
        <v>294.57692307692309</v>
      </c>
      <c r="K38" s="17">
        <f>SUM(K36:K37)</f>
        <v>360</v>
      </c>
      <c r="L38" s="21">
        <f>SUM(L36:L37)</f>
        <v>308.73076923076923</v>
      </c>
      <c r="M38" s="22">
        <f>P38/K38</f>
        <v>8.3555555555555561</v>
      </c>
      <c r="N38" s="22">
        <f>B38/K38</f>
        <v>287.34444444444443</v>
      </c>
      <c r="O38" s="22">
        <f>B38/P38</f>
        <v>34.389627659574465</v>
      </c>
      <c r="P38" s="21">
        <f>SUM(P36:P37)</f>
        <v>3008</v>
      </c>
      <c r="Q38" s="18">
        <f>SUM(Q36:Q37)</f>
        <v>2331.8461538461538</v>
      </c>
      <c r="R38" s="19">
        <f>P38/Q38-1</f>
        <v>0.28996503265817775</v>
      </c>
      <c r="S38" s="15">
        <f>SUM(S36:S37)</f>
        <v>2966</v>
      </c>
      <c r="T38" s="15">
        <f>SUM(T36:T37)</f>
        <v>4734</v>
      </c>
    </row>
    <row r="39" spans="1:20" x14ac:dyDescent="0.25">
      <c r="J39" s="15"/>
      <c r="L39" s="15"/>
      <c r="Q39" s="10"/>
    </row>
    <row r="40" spans="1:20" ht="17.25" customHeight="1" x14ac:dyDescent="0.25">
      <c r="A40" s="41" t="s">
        <v>298</v>
      </c>
      <c r="B40" s="18">
        <f>+B29+B34+B38</f>
        <v>418842</v>
      </c>
      <c r="C40" s="18">
        <f>+C29+C34+C38</f>
        <v>329235.26923076919</v>
      </c>
      <c r="D40" s="19">
        <f>B40/C40-1</f>
        <v>0.2721662566060723</v>
      </c>
      <c r="E40" s="18">
        <f>+E29+E34+E38</f>
        <v>372179</v>
      </c>
      <c r="F40" s="18">
        <f>+F29+F34+F38</f>
        <v>11510</v>
      </c>
      <c r="G40" s="19">
        <f>F40/B40</f>
        <v>2.7480529650799109E-2</v>
      </c>
      <c r="H40" s="19">
        <f>+S40/T40</f>
        <v>0.53162614491919624</v>
      </c>
      <c r="I40" s="18">
        <f>+I29+I34+I38</f>
        <v>1508</v>
      </c>
      <c r="J40" s="21">
        <f>+J29+J34+J38</f>
        <v>1305.6923076923076</v>
      </c>
      <c r="K40" s="18">
        <f>+K29+K34+K38</f>
        <v>1505</v>
      </c>
      <c r="L40" s="21">
        <f>+L29+L34+L38</f>
        <v>1254.3846153846152</v>
      </c>
      <c r="M40" s="22">
        <f>P40/K40</f>
        <v>7.3421926910299007</v>
      </c>
      <c r="N40" s="22">
        <f>B40/K40</f>
        <v>278.30033222591362</v>
      </c>
      <c r="O40" s="22">
        <f>B40/P40</f>
        <v>37.904253393665158</v>
      </c>
      <c r="P40" s="18">
        <f>+P29+P34+P38</f>
        <v>11050</v>
      </c>
      <c r="Q40" s="18">
        <f>+Q29+Q34+Q38</f>
        <v>9355.6923076923085</v>
      </c>
      <c r="R40" s="19">
        <f>P40/Q40-1</f>
        <v>0.18109912517266324</v>
      </c>
      <c r="S40" s="18">
        <f>+S29+S34+S38</f>
        <v>11086</v>
      </c>
      <c r="T40" s="18">
        <f>+T29+T34+T38</f>
        <v>20853</v>
      </c>
    </row>
    <row r="41" spans="1:20" x14ac:dyDescent="0.25">
      <c r="J41" s="15"/>
      <c r="L41" s="15"/>
      <c r="Q41" s="10"/>
    </row>
    <row r="42" spans="1:20" ht="17.25" customHeight="1" x14ac:dyDescent="0.25">
      <c r="A42" s="23" t="s">
        <v>278</v>
      </c>
      <c r="B42" s="18">
        <f>VP!B42+VU!B42</f>
        <v>30759</v>
      </c>
      <c r="C42" s="18">
        <f>E42/CALCUL_DATE!$B$1*CALCUL_DATE!$B$2</f>
        <v>30230.846153846156</v>
      </c>
      <c r="D42" s="19">
        <f>B42/C42-1</f>
        <v>1.747069345879515E-2</v>
      </c>
      <c r="E42" s="18">
        <f>VP!E42+VU!E42</f>
        <v>34174</v>
      </c>
      <c r="F42" s="18">
        <f>VP!F42+VU!F42</f>
        <v>1809</v>
      </c>
      <c r="G42" s="19">
        <f>F42/B42</f>
        <v>5.8812055008290259E-2</v>
      </c>
      <c r="H42" s="20">
        <f>+S42/T42</f>
        <v>0.50533584431889511</v>
      </c>
      <c r="I42" s="17">
        <f>VP!I42+VU!I42</f>
        <v>116</v>
      </c>
      <c r="J42" s="21">
        <f>VP!J42+VU!J42</f>
        <v>107.03846153846153</v>
      </c>
      <c r="K42" s="17">
        <f>VP!K42+VU!K42</f>
        <v>114</v>
      </c>
      <c r="L42" s="21">
        <f>VP!L42+VU!L42</f>
        <v>109.69230769230768</v>
      </c>
      <c r="M42" s="22">
        <f>P42/K42</f>
        <v>7.3157894736842106</v>
      </c>
      <c r="N42" s="22">
        <f>B42/K42</f>
        <v>269.81578947368422</v>
      </c>
      <c r="O42" s="22">
        <f>B42/P42</f>
        <v>36.881294964028775</v>
      </c>
      <c r="P42" s="18">
        <f>VP!P42+VU!P42</f>
        <v>834</v>
      </c>
      <c r="Q42" s="18">
        <f>VP!Q42+VU!Q42</f>
        <v>763.42307692307691</v>
      </c>
      <c r="R42" s="19">
        <f>P42/Q42-1</f>
        <v>9.2447982266109063E-2</v>
      </c>
      <c r="S42" s="10">
        <f>VP!S42+VU!S42</f>
        <v>805</v>
      </c>
      <c r="T42" s="10">
        <f>VP!T42+VU!T42</f>
        <v>1593</v>
      </c>
    </row>
    <row r="43" spans="1:20" ht="17.25" customHeight="1" x14ac:dyDescent="0.25">
      <c r="A43" s="23" t="s">
        <v>279</v>
      </c>
      <c r="B43" s="18">
        <f>VP!B43+VU!B43</f>
        <v>84522</v>
      </c>
      <c r="C43" s="18">
        <f>E43/CALCUL_DATE!$B$1*CALCUL_DATE!$B$2</f>
        <v>62468</v>
      </c>
      <c r="D43" s="19">
        <f>B43/C43-1</f>
        <v>0.35304475891656528</v>
      </c>
      <c r="E43" s="18">
        <f>VP!E43+VU!E43</f>
        <v>70616</v>
      </c>
      <c r="F43" s="18">
        <f>VP!F43+VU!F43</f>
        <v>1466</v>
      </c>
      <c r="G43" s="19">
        <f>F43/B43</f>
        <v>1.7344596673055535E-2</v>
      </c>
      <c r="H43" s="20">
        <f>+S43/T43</f>
        <v>0.65884737909064583</v>
      </c>
      <c r="I43" s="17">
        <f>VP!I43+VU!I43</f>
        <v>243</v>
      </c>
      <c r="J43" s="21">
        <f>VP!J43+VU!J43</f>
        <v>223.80769230769232</v>
      </c>
      <c r="K43" s="17">
        <f>VP!K43+VU!K43</f>
        <v>260</v>
      </c>
      <c r="L43" s="21">
        <f>VP!L43+VU!L43</f>
        <v>207.88461538461536</v>
      </c>
      <c r="M43" s="22">
        <f>P43/K43</f>
        <v>8.8769230769230774</v>
      </c>
      <c r="N43" s="22">
        <f>B43/K43</f>
        <v>325.0846153846154</v>
      </c>
      <c r="O43" s="22">
        <f>B43/P43</f>
        <v>36.621317157712305</v>
      </c>
      <c r="P43" s="18">
        <f>VP!P43+VU!P43</f>
        <v>2308</v>
      </c>
      <c r="Q43" s="18">
        <f>VP!Q43+VU!Q43</f>
        <v>1928.4615384615386</v>
      </c>
      <c r="R43" s="19">
        <f>P43/Q43-1</f>
        <v>0.1968089349820501</v>
      </c>
      <c r="S43" s="10">
        <f>VP!S43+VU!S43</f>
        <v>2275</v>
      </c>
      <c r="T43" s="10">
        <f>VP!T43+VU!T43</f>
        <v>3453</v>
      </c>
    </row>
    <row r="44" spans="1:20" ht="17.25" customHeight="1" x14ac:dyDescent="0.25">
      <c r="A44" s="17" t="s">
        <v>280</v>
      </c>
      <c r="B44" s="18">
        <f>SUM(B42:B43)</f>
        <v>115281</v>
      </c>
      <c r="C44" s="18">
        <f>SUM(C42:C43)</f>
        <v>92698.846153846156</v>
      </c>
      <c r="D44" s="19">
        <f>B44/C44-1</f>
        <v>0.2436077123190481</v>
      </c>
      <c r="E44" s="18">
        <f>SUM(E42:E43)</f>
        <v>104790</v>
      </c>
      <c r="F44" s="18">
        <f>SUM(F42:F43)</f>
        <v>3275</v>
      </c>
      <c r="G44" s="19">
        <f>F44/B44</f>
        <v>2.8408844475672487E-2</v>
      </c>
      <c r="H44" s="19">
        <f>+S44/T44</f>
        <v>0.65884737909064583</v>
      </c>
      <c r="I44" s="17">
        <f>SUM(I42:I43)</f>
        <v>359</v>
      </c>
      <c r="J44" s="21">
        <f>SUM(J42:J43)</f>
        <v>330.84615384615387</v>
      </c>
      <c r="K44" s="17">
        <f>SUM(K42:K43)</f>
        <v>374</v>
      </c>
      <c r="L44" s="21">
        <f>SUM(L42:L43)</f>
        <v>317.57692307692304</v>
      </c>
      <c r="M44" s="22">
        <f>P44/K44</f>
        <v>8.4010695187165769</v>
      </c>
      <c r="N44" s="22">
        <f>B44/K44</f>
        <v>308.23796791443851</v>
      </c>
      <c r="O44" s="22">
        <f>B44/P44</f>
        <v>36.690324633991089</v>
      </c>
      <c r="P44" s="21">
        <f>SUM(P42:P43)</f>
        <v>3142</v>
      </c>
      <c r="Q44" s="18">
        <f>SUM(Q42:Q43)</f>
        <v>2691.8846153846152</v>
      </c>
      <c r="R44" s="19">
        <f>P44/Q44-1</f>
        <v>0.16721199045564306</v>
      </c>
      <c r="S44" s="15">
        <f>SUM(S43:S43)</f>
        <v>2275</v>
      </c>
      <c r="T44" s="15">
        <f>SUM(T43:T43)</f>
        <v>3453</v>
      </c>
    </row>
    <row r="45" spans="1:20" x14ac:dyDescent="0.25">
      <c r="J45" s="15"/>
      <c r="L45" s="15"/>
      <c r="Q45" s="10"/>
    </row>
    <row r="46" spans="1:20" ht="17.25" customHeight="1" x14ac:dyDescent="0.25">
      <c r="A46" s="23" t="s">
        <v>281</v>
      </c>
      <c r="B46" s="18">
        <f>VP!B46+VU!B46</f>
        <v>73899</v>
      </c>
      <c r="C46" s="18">
        <f>E46/CALCUL_DATE!$B$1*CALCUL_DATE!$B$2</f>
        <v>54343.692307692312</v>
      </c>
      <c r="D46" s="19">
        <f>B46/C46-1</f>
        <v>0.35984503190519579</v>
      </c>
      <c r="E46" s="18">
        <f>VP!E46+VU!E46</f>
        <v>61432</v>
      </c>
      <c r="F46" s="18">
        <f>VP!F46+VU!F46</f>
        <v>1465</v>
      </c>
      <c r="G46" s="19">
        <f>F46/B46</f>
        <v>1.9824354862718035E-2</v>
      </c>
      <c r="H46" s="20">
        <f>+S46/T46</f>
        <v>0.49504705299653295</v>
      </c>
      <c r="I46" s="17">
        <f>VP!I46+VU!I46</f>
        <v>246</v>
      </c>
      <c r="J46" s="21">
        <f>VP!J46+VU!J46</f>
        <v>193.80769230769232</v>
      </c>
      <c r="K46" s="17">
        <f>VP!K46+VU!K46</f>
        <v>248</v>
      </c>
      <c r="L46" s="21">
        <f>VP!L46+VU!L46</f>
        <v>189.46153846153845</v>
      </c>
      <c r="M46" s="22">
        <f>P46/K46</f>
        <v>8.3951612903225801</v>
      </c>
      <c r="N46" s="22">
        <f>B46/K46</f>
        <v>297.97983870967744</v>
      </c>
      <c r="O46" s="22">
        <f>B46/P46</f>
        <v>35.494236311239192</v>
      </c>
      <c r="P46" s="18">
        <f>VP!P46+VU!P46</f>
        <v>2082</v>
      </c>
      <c r="Q46" s="18">
        <f>VP!Q46+VU!Q46</f>
        <v>1859.0384615384614</v>
      </c>
      <c r="R46" s="19">
        <f>P46/Q46-1</f>
        <v>0.11993379538636595</v>
      </c>
      <c r="S46" s="10">
        <f>VP!S46+VU!S46</f>
        <v>1999</v>
      </c>
      <c r="T46" s="10">
        <f>VP!T46+VU!T46</f>
        <v>4038</v>
      </c>
    </row>
    <row r="47" spans="1:20" x14ac:dyDescent="0.25">
      <c r="J47" s="15"/>
      <c r="L47" s="15"/>
      <c r="Q47" s="10"/>
    </row>
    <row r="48" spans="1:20" ht="17.25" customHeight="1" x14ac:dyDescent="0.25">
      <c r="A48" s="23" t="s">
        <v>282</v>
      </c>
      <c r="B48" s="18">
        <f>VP!B48+VU!B48</f>
        <v>49925</v>
      </c>
      <c r="C48" s="18">
        <f>E48/CALCUL_DATE!$B$1*CALCUL_DATE!$B$2</f>
        <v>53153</v>
      </c>
      <c r="D48" s="19">
        <f>B48/C48-1</f>
        <v>-6.0730344477263776E-2</v>
      </c>
      <c r="E48" s="18">
        <f>VP!E48+VU!E48</f>
        <v>60086</v>
      </c>
      <c r="F48" s="18">
        <f>VP!F48+VU!F48</f>
        <v>2188</v>
      </c>
      <c r="G48" s="19">
        <f>F48/B48</f>
        <v>4.382573860791187E-2</v>
      </c>
      <c r="H48" s="20">
        <f>+S48/T48</f>
        <v>0.57248764415156506</v>
      </c>
      <c r="I48" s="17">
        <f>VP!I48+VU!I48</f>
        <v>186</v>
      </c>
      <c r="J48" s="21">
        <f>VP!J48+VU!J48</f>
        <v>227.34615384615387</v>
      </c>
      <c r="K48" s="17">
        <f>VP!K48+VU!K48</f>
        <v>197</v>
      </c>
      <c r="L48" s="21">
        <f>VP!L48+VU!L48</f>
        <v>233.53846153846152</v>
      </c>
      <c r="M48" s="22">
        <f>P48/K48</f>
        <v>7.248730964467005</v>
      </c>
      <c r="N48" s="22">
        <f>B48/K48</f>
        <v>253.42639593908629</v>
      </c>
      <c r="O48" s="22">
        <f>B48/P48</f>
        <v>34.961484593837532</v>
      </c>
      <c r="P48" s="18">
        <f>VP!P48+VU!P48</f>
        <v>1428</v>
      </c>
      <c r="Q48" s="18">
        <f>VP!Q48+VU!Q48</f>
        <v>1739.3461538461538</v>
      </c>
      <c r="R48" s="19">
        <f>P48/Q48-1</f>
        <v>-0.17900183534926917</v>
      </c>
      <c r="S48" s="10">
        <f>VP!S48+VU!S48</f>
        <v>1390</v>
      </c>
      <c r="T48" s="10">
        <f>VP!T48+VU!T48</f>
        <v>2428</v>
      </c>
    </row>
    <row r="49" spans="1:20" ht="17.25" customHeight="1" x14ac:dyDescent="0.25">
      <c r="A49" s="23" t="s">
        <v>283</v>
      </c>
      <c r="B49" s="18">
        <f>VP!B49+VU!B49</f>
        <v>20995</v>
      </c>
      <c r="C49" s="18">
        <f>E49/CALCUL_DATE!$B$1*CALCUL_DATE!$B$2</f>
        <v>15425.923076923078</v>
      </c>
      <c r="D49" s="19">
        <f>B49/C49-1</f>
        <v>0.36102065952916407</v>
      </c>
      <c r="E49" s="18">
        <f>VP!E49+VU!E49</f>
        <v>17438</v>
      </c>
      <c r="F49" s="18">
        <f>VP!F49+VU!F49</f>
        <v>1304</v>
      </c>
      <c r="G49" s="19">
        <f>F49/B49</f>
        <v>6.2110026196713505E-2</v>
      </c>
      <c r="H49" s="20">
        <f>+S49/T49</f>
        <v>0.38613861386138615</v>
      </c>
      <c r="I49" s="17">
        <f>VP!I49+VU!I49</f>
        <v>82</v>
      </c>
      <c r="J49" s="21">
        <f>VP!J49+VU!J49</f>
        <v>76.07692307692308</v>
      </c>
      <c r="K49" s="17">
        <f>VP!K49+VU!K49</f>
        <v>96</v>
      </c>
      <c r="L49" s="21">
        <f>VP!L49+VU!L49</f>
        <v>80.5</v>
      </c>
      <c r="M49" s="22">
        <f>P49/K49</f>
        <v>5.458333333333333</v>
      </c>
      <c r="N49" s="22">
        <f>B49/K49</f>
        <v>218.69791666666666</v>
      </c>
      <c r="O49" s="22">
        <f>B49/P49</f>
        <v>40.06679389312977</v>
      </c>
      <c r="P49" s="18">
        <f>VP!P49+VU!P49</f>
        <v>524</v>
      </c>
      <c r="Q49" s="18">
        <f>VP!Q49+VU!Q49</f>
        <v>423.73076923076923</v>
      </c>
      <c r="R49" s="19">
        <f>P49/Q49-1</f>
        <v>0.23663429245711165</v>
      </c>
      <c r="S49" s="10">
        <f>VP!S49+VU!S49</f>
        <v>507</v>
      </c>
      <c r="T49" s="10">
        <f>VP!T49+VU!T49</f>
        <v>1313</v>
      </c>
    </row>
    <row r="50" spans="1:20" ht="17.25" customHeight="1" x14ac:dyDescent="0.25">
      <c r="A50" s="17" t="s">
        <v>284</v>
      </c>
      <c r="B50" s="18">
        <f>SUM(B48:B49)</f>
        <v>70920</v>
      </c>
      <c r="C50" s="18">
        <f>SUM(C48:C49)</f>
        <v>68578.923076923078</v>
      </c>
      <c r="D50" s="19">
        <f>B50/C50-1</f>
        <v>3.4136974131993902E-2</v>
      </c>
      <c r="E50" s="18">
        <f>SUM(E48:E49)</f>
        <v>77524</v>
      </c>
      <c r="F50" s="18">
        <f>SUM(F48:F49)</f>
        <v>3492</v>
      </c>
      <c r="G50" s="19">
        <f>F50/B50</f>
        <v>4.9238578680203045E-2</v>
      </c>
      <c r="H50" s="19">
        <f>+S50/T50</f>
        <v>0.50708366746859124</v>
      </c>
      <c r="I50" s="17">
        <f>SUM(I48:I49)</f>
        <v>268</v>
      </c>
      <c r="J50" s="21">
        <f>SUM(J48:J49)</f>
        <v>303.42307692307696</v>
      </c>
      <c r="K50" s="17">
        <f>SUM(K48:K49)</f>
        <v>293</v>
      </c>
      <c r="L50" s="21">
        <f>SUM(L48:L49)</f>
        <v>314.03846153846155</v>
      </c>
      <c r="M50" s="22">
        <f>P50/K50</f>
        <v>6.662116040955631</v>
      </c>
      <c r="N50" s="22">
        <f>B50/K50</f>
        <v>242.04778156996588</v>
      </c>
      <c r="O50" s="22">
        <f>B50/P50</f>
        <v>36.331967213114751</v>
      </c>
      <c r="P50" s="21">
        <f>SUM(P48:P49)</f>
        <v>1952</v>
      </c>
      <c r="Q50" s="18">
        <f>SUM(Q48:Q49)</f>
        <v>2163.0769230769229</v>
      </c>
      <c r="R50" s="19">
        <f>P50/Q50-1</f>
        <v>-9.7581792318634286E-2</v>
      </c>
      <c r="S50" s="15">
        <f>SUM(S48:S49)</f>
        <v>1897</v>
      </c>
      <c r="T50" s="15">
        <f>SUM(T48:T49)</f>
        <v>3741</v>
      </c>
    </row>
    <row r="51" spans="1:20" x14ac:dyDescent="0.25">
      <c r="J51" s="15"/>
      <c r="L51" s="15"/>
      <c r="Q51" s="10"/>
    </row>
    <row r="52" spans="1:20" ht="17.25" customHeight="1" x14ac:dyDescent="0.25">
      <c r="A52" s="41" t="s">
        <v>302</v>
      </c>
      <c r="B52" s="18">
        <f>B50+B44+B46</f>
        <v>260100</v>
      </c>
      <c r="C52" s="18">
        <f>C50+C44+C46</f>
        <v>215621.46153846156</v>
      </c>
      <c r="D52" s="19">
        <f>B52/C52-1</f>
        <v>0.20628066494023156</v>
      </c>
      <c r="E52" s="18">
        <f>E50+E44+E46</f>
        <v>243746</v>
      </c>
      <c r="F52" s="18">
        <f>F50+F44+F46</f>
        <v>8232</v>
      </c>
      <c r="G52" s="19">
        <f>F52/B52</f>
        <v>3.1649365628604383E-2</v>
      </c>
      <c r="H52" s="19">
        <f>+S52/T52</f>
        <v>0.54941239316239321</v>
      </c>
      <c r="I52" s="18">
        <f>I50+I44+I46</f>
        <v>873</v>
      </c>
      <c r="J52" s="18">
        <f>J50+J44+J46</f>
        <v>828.07692307692309</v>
      </c>
      <c r="K52" s="18">
        <f>K50+K44+K46</f>
        <v>915</v>
      </c>
      <c r="L52" s="18">
        <f>L50+L44+L46</f>
        <v>821.07692307692298</v>
      </c>
      <c r="M52" s="22">
        <f>P52/K52</f>
        <v>7.8426229508196723</v>
      </c>
      <c r="N52" s="22">
        <f>B52/K52</f>
        <v>284.26229508196724</v>
      </c>
      <c r="O52" s="22">
        <f>B52/P52</f>
        <v>36.245819397993309</v>
      </c>
      <c r="P52" s="18">
        <f>P50+P44+P46</f>
        <v>7176</v>
      </c>
      <c r="Q52" s="18">
        <f>Q50+Q44+Q46</f>
        <v>6714</v>
      </c>
      <c r="R52" s="19">
        <f>P52/Q52-1</f>
        <v>6.8811438784629031E-2</v>
      </c>
      <c r="S52" s="18">
        <f>S50+S44+S46</f>
        <v>6171</v>
      </c>
      <c r="T52" s="18">
        <f>T50+T44+T46</f>
        <v>11232</v>
      </c>
    </row>
    <row r="53" spans="1:20" x14ac:dyDescent="0.25">
      <c r="J53" s="15"/>
      <c r="L53" s="15"/>
      <c r="Q53" s="10"/>
    </row>
    <row r="54" spans="1:20" ht="17.25" customHeight="1" x14ac:dyDescent="0.25">
      <c r="A54" s="23" t="s">
        <v>176</v>
      </c>
      <c r="B54" s="18">
        <f>VP!B54+VU!B54</f>
        <v>191415</v>
      </c>
      <c r="C54" s="18">
        <f>E54/CALCUL_DATE!$B$1*CALCUL_DATE!$B$2</f>
        <v>154955.42307692306</v>
      </c>
      <c r="D54" s="19">
        <f>B54/C54-1</f>
        <v>0.23529074490653779</v>
      </c>
      <c r="E54" s="18">
        <f>VP!E54+VU!E54</f>
        <v>175167</v>
      </c>
      <c r="F54" s="18">
        <f>VP!F54+VU!F54</f>
        <v>2193</v>
      </c>
      <c r="G54" s="19">
        <f>F54/B54</f>
        <v>1.1456782383825718E-2</v>
      </c>
      <c r="H54" s="20">
        <f>+S54/T54</f>
        <v>0.6131452852364162</v>
      </c>
      <c r="I54" s="17">
        <f>VP!I54+VU!I54</f>
        <v>504</v>
      </c>
      <c r="J54" s="21">
        <f>VP!J54+VU!J54</f>
        <v>452.03846153846155</v>
      </c>
      <c r="K54" s="17">
        <f>VP!K54+VU!K54</f>
        <v>532</v>
      </c>
      <c r="L54" s="21">
        <f>VP!L54+VU!L54</f>
        <v>439.65384615384613</v>
      </c>
      <c r="M54" s="22">
        <f>P54/K54</f>
        <v>12.808270676691729</v>
      </c>
      <c r="N54" s="22">
        <f>B54/K54</f>
        <v>359.80263157894734</v>
      </c>
      <c r="O54" s="22">
        <f>B54/P54</f>
        <v>28.091429410038156</v>
      </c>
      <c r="P54" s="18">
        <f>VP!P54+VU!P54</f>
        <v>6814</v>
      </c>
      <c r="Q54" s="18">
        <f>VP!Q54+VU!Q54</f>
        <v>5214.8076923076924</v>
      </c>
      <c r="R54" s="19">
        <f>P54/Q54-1</f>
        <v>0.3066637164878121</v>
      </c>
      <c r="S54" s="10">
        <f>VP!S54+VU!S54</f>
        <v>6782</v>
      </c>
      <c r="T54" s="10">
        <f>VP!T54+VU!T54</f>
        <v>11061</v>
      </c>
    </row>
    <row r="55" spans="1:20" ht="17.25" customHeight="1" x14ac:dyDescent="0.25">
      <c r="A55" s="23" t="s">
        <v>174</v>
      </c>
      <c r="B55" s="18">
        <f>VP!B55+VU!B55</f>
        <v>57953</v>
      </c>
      <c r="C55" s="18">
        <f>E55/CALCUL_DATE!$B$1*CALCUL_DATE!$B$2</f>
        <v>40769.269230769234</v>
      </c>
      <c r="D55" s="19">
        <f>B55/C55-1</f>
        <v>0.42148733821949214</v>
      </c>
      <c r="E55" s="18">
        <f>VP!E55+VU!E55</f>
        <v>46087</v>
      </c>
      <c r="F55" s="18">
        <f>VP!F55+VU!F55</f>
        <v>1109</v>
      </c>
      <c r="G55" s="19">
        <f>F55/B55</f>
        <v>1.9136196573085087E-2</v>
      </c>
      <c r="H55" s="20">
        <f>+S55/T55</f>
        <v>0.49071137290439509</v>
      </c>
      <c r="I55" s="17">
        <f>VP!I55+VU!I55</f>
        <v>297</v>
      </c>
      <c r="J55" s="21">
        <f>VP!J55+VU!J55</f>
        <v>245.03846153846152</v>
      </c>
      <c r="K55" s="17">
        <f>VP!K55+VU!K55</f>
        <v>275</v>
      </c>
      <c r="L55" s="21">
        <f>VP!L55+VU!L55</f>
        <v>220.26923076923077</v>
      </c>
      <c r="M55" s="22">
        <f>P55/K55</f>
        <v>4.0072727272727269</v>
      </c>
      <c r="N55" s="22">
        <f>B55/K55</f>
        <v>210.73818181818183</v>
      </c>
      <c r="O55" s="22">
        <f>B55/P55</f>
        <v>52.588929219600729</v>
      </c>
      <c r="P55" s="18">
        <f>VP!P55+VU!P55</f>
        <v>1102</v>
      </c>
      <c r="Q55" s="18">
        <f>VP!Q55+VU!Q55</f>
        <v>843.92307692307691</v>
      </c>
      <c r="R55" s="19">
        <f>P55/Q55-1</f>
        <v>0.30580621638866101</v>
      </c>
      <c r="S55" s="10">
        <f>VP!S55+VU!S55</f>
        <v>1083</v>
      </c>
      <c r="T55" s="10">
        <f>VP!T55+VU!T55</f>
        <v>2207</v>
      </c>
    </row>
    <row r="56" spans="1:20" ht="17.25" customHeight="1" x14ac:dyDescent="0.25">
      <c r="A56" s="17" t="s">
        <v>286</v>
      </c>
      <c r="B56" s="18">
        <f>SUM(B54:B55)</f>
        <v>249368</v>
      </c>
      <c r="C56" s="18">
        <f>SUM(C54:C55)</f>
        <v>195724.69230769231</v>
      </c>
      <c r="D56" s="19">
        <f>B56/C56-1</f>
        <v>0.27407532008264357</v>
      </c>
      <c r="E56" s="18">
        <f>SUM(E54:E55)</f>
        <v>221254</v>
      </c>
      <c r="F56" s="18">
        <f>SUM(F54:F55)</f>
        <v>3302</v>
      </c>
      <c r="G56" s="19">
        <f>F56/B56</f>
        <v>1.3241474447403034E-2</v>
      </c>
      <c r="H56" s="19">
        <f>+S56/T56</f>
        <v>0.59277962013867957</v>
      </c>
      <c r="I56" s="18">
        <f>SUM(I54:I55)</f>
        <v>801</v>
      </c>
      <c r="J56" s="21">
        <f>SUM(J54:J55)</f>
        <v>697.07692307692309</v>
      </c>
      <c r="K56" s="18">
        <f>SUM(K54:K55)</f>
        <v>807</v>
      </c>
      <c r="L56" s="21">
        <f>SUM(L54:L55)</f>
        <v>659.92307692307691</v>
      </c>
      <c r="M56" s="22">
        <f>P56/K56</f>
        <v>9.8091697645600995</v>
      </c>
      <c r="N56" s="22">
        <f>B56/K56</f>
        <v>309.00619578686491</v>
      </c>
      <c r="O56" s="22">
        <f>B56/P56</f>
        <v>31.50176856998484</v>
      </c>
      <c r="P56" s="18">
        <f>SUM(P54:P55)</f>
        <v>7916</v>
      </c>
      <c r="Q56" s="18">
        <f>SUM(Q54:Q55)</f>
        <v>6058.7307692307695</v>
      </c>
      <c r="R56" s="19">
        <f>P56/Q56-1</f>
        <v>0.30654427494969116</v>
      </c>
      <c r="S56" s="18">
        <f>SUM(S54:S55)</f>
        <v>7865</v>
      </c>
      <c r="T56" s="18">
        <f>SUM(T54:T55)</f>
        <v>13268</v>
      </c>
    </row>
    <row r="57" spans="1:20" x14ac:dyDescent="0.25">
      <c r="J57" s="15"/>
      <c r="L57" s="15"/>
      <c r="Q57" s="10"/>
    </row>
    <row r="58" spans="1:20" ht="17.25" customHeight="1" x14ac:dyDescent="0.25">
      <c r="A58" s="23" t="s">
        <v>287</v>
      </c>
      <c r="B58" s="18">
        <f>VP!B58+VU!B58</f>
        <v>57817</v>
      </c>
      <c r="C58" s="18">
        <f>E58/CALCUL_DATE!$B$1*CALCUL_DATE!$B$2</f>
        <v>40560.5</v>
      </c>
      <c r="D58" s="19">
        <f>B58/C58-1</f>
        <v>0.42545086968849</v>
      </c>
      <c r="E58" s="18">
        <f>VP!E58+VU!E58</f>
        <v>45851</v>
      </c>
      <c r="F58" s="18">
        <f>VP!F58+VU!F58</f>
        <v>1121</v>
      </c>
      <c r="G58" s="19">
        <f>F58/B58</f>
        <v>1.9388761091028592E-2</v>
      </c>
      <c r="H58" s="20">
        <f>+S58/T58</f>
        <v>0.41475826972010177</v>
      </c>
      <c r="I58" s="17">
        <f>VP!I58+VU!I58</f>
        <v>207</v>
      </c>
      <c r="J58" s="21">
        <f>VP!J58+VU!J58</f>
        <v>155.69230769230768</v>
      </c>
      <c r="K58" s="17">
        <f>VP!K58+VU!K58</f>
        <v>219</v>
      </c>
      <c r="L58" s="21">
        <f>VP!L58+VU!L58</f>
        <v>176.03846153846155</v>
      </c>
      <c r="M58" s="22">
        <f>P58/K58</f>
        <v>6.8036529680365296</v>
      </c>
      <c r="N58" s="22">
        <f>B58/K58</f>
        <v>264.00456621004565</v>
      </c>
      <c r="O58" s="22">
        <f>B58/P58</f>
        <v>38.803355704697985</v>
      </c>
      <c r="P58" s="18">
        <f>VP!P58+VU!P58</f>
        <v>1490</v>
      </c>
      <c r="Q58" s="18">
        <f>VP!Q58+VU!Q58</f>
        <v>1165.9230769230771</v>
      </c>
      <c r="R58" s="19">
        <f>P58/Q58-1</f>
        <v>0.27795737942864651</v>
      </c>
      <c r="S58" s="10">
        <f>VP!S58+VU!S58</f>
        <v>1467</v>
      </c>
      <c r="T58" s="10">
        <f>VP!T58+VU!T58</f>
        <v>3537</v>
      </c>
    </row>
    <row r="59" spans="1:20" ht="17.25" customHeight="1" x14ac:dyDescent="0.25">
      <c r="A59" s="23" t="s">
        <v>288</v>
      </c>
      <c r="B59" s="18">
        <f>VP!B59+VU!B59</f>
        <v>29029</v>
      </c>
      <c r="C59" s="18">
        <f>E59/CALCUL_DATE!$B$1*CALCUL_DATE!$B$2</f>
        <v>22751.423076923078</v>
      </c>
      <c r="D59" s="19">
        <f>B59/C59-1</f>
        <v>0.27592018757913706</v>
      </c>
      <c r="E59" s="18">
        <f>VP!E59+VU!E59</f>
        <v>25719</v>
      </c>
      <c r="F59" s="18">
        <f>VP!F59+VU!F59</f>
        <v>1078</v>
      </c>
      <c r="G59" s="19">
        <f>F59/B59</f>
        <v>3.7135278514588858E-2</v>
      </c>
      <c r="H59" s="20">
        <f>+S59/T59</f>
        <v>0.5</v>
      </c>
      <c r="I59" s="17">
        <f>VP!I59+VU!I59</f>
        <v>156</v>
      </c>
      <c r="J59" s="21">
        <f>VP!J59+VU!J59</f>
        <v>145.96153846153845</v>
      </c>
      <c r="K59" s="17">
        <f>VP!K59+VU!K59</f>
        <v>147</v>
      </c>
      <c r="L59" s="21">
        <f>VP!L59+VU!L59</f>
        <v>130.03846153846155</v>
      </c>
      <c r="M59" s="22">
        <f>P59/K59</f>
        <v>4.129251700680272</v>
      </c>
      <c r="N59" s="22">
        <f>B59/K59</f>
        <v>197.47619047619048</v>
      </c>
      <c r="O59" s="22">
        <f>B59/P59</f>
        <v>47.823723228995057</v>
      </c>
      <c r="P59" s="18">
        <f>VP!P59+VU!P59</f>
        <v>607</v>
      </c>
      <c r="Q59" s="18">
        <f>VP!Q59+VU!Q59</f>
        <v>484.76923076923083</v>
      </c>
      <c r="R59" s="19">
        <f>P59/Q59-1</f>
        <v>0.252142177086639</v>
      </c>
      <c r="S59" s="10">
        <f>VP!S59+VU!S59</f>
        <v>593</v>
      </c>
      <c r="T59" s="10">
        <f>VP!T59+VU!T59</f>
        <v>1186</v>
      </c>
    </row>
    <row r="60" spans="1:20" ht="17.25" customHeight="1" x14ac:dyDescent="0.25">
      <c r="A60" s="17" t="s">
        <v>289</v>
      </c>
      <c r="B60" s="18">
        <f>SUM(B58:B59)</f>
        <v>86846</v>
      </c>
      <c r="C60" s="18">
        <f>SUM(C58:C59)</f>
        <v>63311.923076923078</v>
      </c>
      <c r="D60" s="19">
        <f>B60/C60-1</f>
        <v>0.37171634945416776</v>
      </c>
      <c r="E60" s="18">
        <f>SUM(E58:E59)</f>
        <v>71570</v>
      </c>
      <c r="F60" s="18">
        <f>SUM(F58:F59)</f>
        <v>2199</v>
      </c>
      <c r="G60" s="19">
        <f>F60/B60</f>
        <v>2.53206825875688E-2</v>
      </c>
      <c r="H60" s="19">
        <f>+S60/T60</f>
        <v>0.43616345543087021</v>
      </c>
      <c r="I60" s="17">
        <f>SUM(I58:I59)</f>
        <v>363</v>
      </c>
      <c r="J60" s="21">
        <f>SUM(J58:J59)</f>
        <v>301.65384615384613</v>
      </c>
      <c r="K60" s="17">
        <f>SUM(K58:K59)</f>
        <v>366</v>
      </c>
      <c r="L60" s="21">
        <f>SUM(L58:L59)</f>
        <v>306.07692307692309</v>
      </c>
      <c r="M60" s="22">
        <f>P60/K60</f>
        <v>5.7295081967213113</v>
      </c>
      <c r="N60" s="22">
        <f>B60/K60</f>
        <v>237.28415300546447</v>
      </c>
      <c r="O60" s="22">
        <f>B60/P60</f>
        <v>41.414401525989511</v>
      </c>
      <c r="P60" s="21">
        <f>SUM(P58:P59)</f>
        <v>2097</v>
      </c>
      <c r="Q60" s="18">
        <f>SUM(Q58:Q59)</f>
        <v>1650.6923076923081</v>
      </c>
      <c r="R60" s="19">
        <f>P60/Q60-1</f>
        <v>0.27037606598629926</v>
      </c>
      <c r="S60" s="15">
        <f>SUM(S58:S59)</f>
        <v>2060</v>
      </c>
      <c r="T60" s="15">
        <f>SUM(T58:T59)</f>
        <v>4723</v>
      </c>
    </row>
    <row r="61" spans="1:20" x14ac:dyDescent="0.25">
      <c r="J61" s="15"/>
      <c r="L61" s="15"/>
      <c r="Q61" s="10"/>
    </row>
    <row r="62" spans="1:20" ht="17.25" customHeight="1" x14ac:dyDescent="0.25">
      <c r="A62" s="23" t="s">
        <v>285</v>
      </c>
      <c r="B62" s="18">
        <f>VP!B62+VU!B62</f>
        <v>52013</v>
      </c>
      <c r="C62" s="18">
        <f>E62/CALCUL_DATE!$B$1*CALCUL_DATE!$B$2</f>
        <v>35394.346153846156</v>
      </c>
      <c r="D62" s="19">
        <f>B62/C62-1</f>
        <v>0.46952848836135264</v>
      </c>
      <c r="E62" s="18">
        <f>VP!E62+VU!E62</f>
        <v>40011</v>
      </c>
      <c r="F62" s="18">
        <f>VP!F62+VU!F62</f>
        <v>1197</v>
      </c>
      <c r="G62" s="19">
        <f>F62/B62</f>
        <v>2.30134773998808E-2</v>
      </c>
      <c r="H62" s="20">
        <f>+S62/T62</f>
        <v>0.60499798468359534</v>
      </c>
      <c r="I62" s="17">
        <f>VP!I62+VU!I62</f>
        <v>161</v>
      </c>
      <c r="J62" s="21">
        <f>VP!J62+VU!J62</f>
        <v>145.96153846153845</v>
      </c>
      <c r="K62" s="17">
        <f>VP!K62+VU!K62</f>
        <v>163</v>
      </c>
      <c r="L62" s="21">
        <f>VP!L62+VU!L62</f>
        <v>144.19230769230768</v>
      </c>
      <c r="M62" s="22">
        <f>P62/K62</f>
        <v>9.3067484662576678</v>
      </c>
      <c r="N62" s="22">
        <f>B62/K62</f>
        <v>319.09815950920245</v>
      </c>
      <c r="O62" s="22">
        <f>B62/P62</f>
        <v>34.286750164798946</v>
      </c>
      <c r="P62" s="18">
        <f>VP!P62+VU!P62</f>
        <v>1517</v>
      </c>
      <c r="Q62" s="18">
        <f>VP!Q62+VU!Q62</f>
        <v>1095.1538461538462</v>
      </c>
      <c r="R62" s="19">
        <f>P62/Q62-1</f>
        <v>0.38519350986865208</v>
      </c>
      <c r="S62" s="10">
        <f>VP!S62+VU!S62</f>
        <v>1501</v>
      </c>
      <c r="T62" s="10">
        <f>VP!T62+VU!T62</f>
        <v>2481</v>
      </c>
    </row>
    <row r="63" spans="1:20" ht="17.25" customHeight="1" x14ac:dyDescent="0.25">
      <c r="A63" s="23" t="s">
        <v>290</v>
      </c>
      <c r="B63" s="18">
        <f>VP!B63+VU!B63</f>
        <v>42950</v>
      </c>
      <c r="C63" s="18">
        <f>E63/CALCUL_DATE!$B$1*CALCUL_DATE!$B$2</f>
        <v>27260.307692307695</v>
      </c>
      <c r="D63" s="19">
        <f>B63/C63-1</f>
        <v>0.57555081493521132</v>
      </c>
      <c r="E63" s="18">
        <f>VP!E63+VU!E63</f>
        <v>30816</v>
      </c>
      <c r="F63" s="18">
        <f>VP!F63+VU!F63</f>
        <v>2108</v>
      </c>
      <c r="G63" s="19">
        <f>F63/B63</f>
        <v>4.9080325960419093E-2</v>
      </c>
      <c r="H63" s="20">
        <f>+S63/T63</f>
        <v>0.50622981079833873</v>
      </c>
      <c r="I63" s="17">
        <f>VP!I63+VU!I63</f>
        <v>178</v>
      </c>
      <c r="J63" s="21">
        <f>VP!J63+VU!J63</f>
        <v>154.80769230769229</v>
      </c>
      <c r="K63" s="17">
        <f>VP!K63+VU!K63</f>
        <v>196</v>
      </c>
      <c r="L63" s="21">
        <f>VP!L63+VU!L63</f>
        <v>153.92307692307691</v>
      </c>
      <c r="M63" s="22">
        <f>P63/K63</f>
        <v>5.841836734693878</v>
      </c>
      <c r="N63" s="22">
        <f>B63/K63</f>
        <v>219.13265306122449</v>
      </c>
      <c r="O63" s="22">
        <f>B63/P63</f>
        <v>37.510917030567683</v>
      </c>
      <c r="P63" s="18">
        <f>VP!P63+VU!P63</f>
        <v>1145</v>
      </c>
      <c r="Q63" s="18">
        <f>VP!Q63+VU!Q63</f>
        <v>621</v>
      </c>
      <c r="R63" s="19">
        <f>P63/Q63-1</f>
        <v>0.8438003220611916</v>
      </c>
      <c r="S63" s="10">
        <f>VP!S63+VU!S63</f>
        <v>1097</v>
      </c>
      <c r="T63" s="10">
        <f>VP!T63+VU!T63</f>
        <v>2167</v>
      </c>
    </row>
    <row r="64" spans="1:20" ht="17.25" customHeight="1" x14ac:dyDescent="0.25">
      <c r="A64" s="23" t="s">
        <v>291</v>
      </c>
      <c r="B64" s="18">
        <f>VP!B64+VU!B64</f>
        <v>20961</v>
      </c>
      <c r="C64" s="18">
        <f>E64/CALCUL_DATE!$B$1*CALCUL_DATE!$B$2</f>
        <v>13317.884615384615</v>
      </c>
      <c r="D64" s="19">
        <f>B64/C64-1</f>
        <v>0.57389860367059908</v>
      </c>
      <c r="E64" s="18">
        <f>VP!E64+VU!E64</f>
        <v>15055</v>
      </c>
      <c r="F64" s="18">
        <f>VP!F64+VU!F64</f>
        <v>190</v>
      </c>
      <c r="G64" s="19">
        <f>F64/B64</f>
        <v>9.0644530318210008E-3</v>
      </c>
      <c r="H64" s="20">
        <f>+S64/T64</f>
        <v>0.55652173913043479</v>
      </c>
      <c r="I64" s="17">
        <f>VP!I64+VU!I64</f>
        <v>68</v>
      </c>
      <c r="J64" s="21">
        <f>VP!J64+VU!J64</f>
        <v>45.115384615384613</v>
      </c>
      <c r="K64" s="17">
        <f>VP!K64+VU!K64</f>
        <v>78</v>
      </c>
      <c r="L64" s="21">
        <f>VP!L64+VU!L64</f>
        <v>53.07692307692308</v>
      </c>
      <c r="M64" s="22">
        <f>P64/K64</f>
        <v>7.4358974358974361</v>
      </c>
      <c r="N64" s="22">
        <f>B64/K64</f>
        <v>268.73076923076923</v>
      </c>
      <c r="O64" s="22">
        <f>B64/P64</f>
        <v>36.139655172413796</v>
      </c>
      <c r="P64" s="18">
        <f>VP!P64+VU!P64</f>
        <v>580</v>
      </c>
      <c r="Q64" s="18">
        <f>VP!Q64+VU!Q64</f>
        <v>425.5</v>
      </c>
      <c r="R64" s="19">
        <f>P64/Q64-1</f>
        <v>0.36310223266745001</v>
      </c>
      <c r="S64" s="10">
        <f>VP!S64+VU!S64</f>
        <v>576</v>
      </c>
      <c r="T64" s="10">
        <f>VP!T64+VU!T64</f>
        <v>1035</v>
      </c>
    </row>
    <row r="65" spans="1:20" ht="17.25" customHeight="1" x14ac:dyDescent="0.25">
      <c r="A65" s="17" t="s">
        <v>373</v>
      </c>
      <c r="B65" s="18">
        <f>SUM(B62:B64)</f>
        <v>115924</v>
      </c>
      <c r="C65" s="18">
        <f>SUM(C62:C64)</f>
        <v>75972.538461538468</v>
      </c>
      <c r="D65" s="19">
        <f>B65/C65-1</f>
        <v>0.52586714025209491</v>
      </c>
      <c r="E65" s="18">
        <f>SUM(E62:E64)</f>
        <v>85882</v>
      </c>
      <c r="F65" s="18">
        <f>SUM(F62:F64)</f>
        <v>3495</v>
      </c>
      <c r="G65" s="19">
        <f>F65/B65</f>
        <v>3.0149063179324385E-2</v>
      </c>
      <c r="H65" s="19">
        <f>+S65/T65</f>
        <v>0.55850783037128282</v>
      </c>
      <c r="I65" s="18">
        <f>SUM(I62:I64)</f>
        <v>407</v>
      </c>
      <c r="J65" s="21">
        <f>SUM(J62:J64)</f>
        <v>345.88461538461536</v>
      </c>
      <c r="K65" s="18">
        <f>SUM(K62:K64)</f>
        <v>437</v>
      </c>
      <c r="L65" s="21">
        <f>SUM(L62:L64)</f>
        <v>351.19230769230768</v>
      </c>
      <c r="M65" s="22">
        <f>P65/K65</f>
        <v>7.4187643020594969</v>
      </c>
      <c r="N65" s="22">
        <f>B65/K65</f>
        <v>265.27231121281466</v>
      </c>
      <c r="O65" s="22">
        <f>B65/P65</f>
        <v>35.756940160394819</v>
      </c>
      <c r="P65" s="18">
        <f>SUM(P62:P64)</f>
        <v>3242</v>
      </c>
      <c r="Q65" s="18">
        <f>SUM(Q62:Q64)</f>
        <v>2141.6538461538462</v>
      </c>
      <c r="R65" s="19">
        <f>P65/Q65-1</f>
        <v>0.51378338092415987</v>
      </c>
      <c r="S65" s="18">
        <f>SUM(S62:S64)</f>
        <v>3174</v>
      </c>
      <c r="T65" s="18">
        <f>SUM(T62:T64)</f>
        <v>5683</v>
      </c>
    </row>
    <row r="66" spans="1:20" ht="17.25" customHeight="1" x14ac:dyDescent="0.25">
      <c r="A66" s="37"/>
      <c r="B66" s="38"/>
      <c r="C66" s="38"/>
      <c r="D66" s="39"/>
      <c r="E66" s="38"/>
      <c r="F66" s="38"/>
      <c r="G66" s="39"/>
      <c r="H66" s="39"/>
      <c r="I66" s="38"/>
      <c r="J66" s="50"/>
      <c r="K66" s="38"/>
      <c r="L66" s="50"/>
      <c r="M66" s="40"/>
      <c r="N66" s="40"/>
      <c r="O66" s="40"/>
      <c r="P66" s="38"/>
      <c r="Q66" s="38"/>
      <c r="R66" s="39"/>
      <c r="S66" s="38"/>
      <c r="T66" s="38"/>
    </row>
    <row r="67" spans="1:20" ht="17.25" customHeight="1" x14ac:dyDescent="0.25">
      <c r="A67" s="41" t="s">
        <v>303</v>
      </c>
      <c r="B67" s="18">
        <f>+B56+B60+B65</f>
        <v>452138</v>
      </c>
      <c r="C67" s="18">
        <f>+C56+C60+C65</f>
        <v>335009.15384615387</v>
      </c>
      <c r="D67" s="19">
        <f>B67/C67-1</f>
        <v>0.34962879315123185</v>
      </c>
      <c r="E67" s="18">
        <f>+E56+E60+E65</f>
        <v>378706</v>
      </c>
      <c r="F67" s="18">
        <f>+F56+F60+F65</f>
        <v>8996</v>
      </c>
      <c r="G67" s="19">
        <f>F67/B67</f>
        <v>1.9896580247623512E-2</v>
      </c>
      <c r="H67" s="19">
        <f>+S67/T67</f>
        <v>0.55330742586804094</v>
      </c>
      <c r="I67" s="18">
        <f>+I56+I60+I65</f>
        <v>1571</v>
      </c>
      <c r="J67" s="21">
        <f>+J56+J60+J65</f>
        <v>1344.6153846153848</v>
      </c>
      <c r="K67" s="18">
        <f>+K56+K60+K65</f>
        <v>1610</v>
      </c>
      <c r="L67" s="21">
        <f>+L56+L60+L65</f>
        <v>1317.1923076923076</v>
      </c>
      <c r="M67" s="22">
        <f>P67/K67</f>
        <v>8.2329192546583858</v>
      </c>
      <c r="N67" s="22">
        <f>B67/K67</f>
        <v>280.8310559006211</v>
      </c>
      <c r="O67" s="22">
        <f>B67/P67</f>
        <v>34.110750660128254</v>
      </c>
      <c r="P67" s="18">
        <f>+P56+P60+P65</f>
        <v>13255</v>
      </c>
      <c r="Q67" s="18">
        <f>+Q56+Q60+Q65</f>
        <v>9851.0769230769238</v>
      </c>
      <c r="R67" s="19">
        <f>P67/Q67-1</f>
        <v>0.3455381684157921</v>
      </c>
      <c r="S67" s="10">
        <f>+S56+S60+S65</f>
        <v>13099</v>
      </c>
      <c r="T67" s="10">
        <f>+T56+T60+T65</f>
        <v>23674</v>
      </c>
    </row>
    <row r="68" spans="1:20" ht="17.25" customHeight="1" x14ac:dyDescent="0.25">
      <c r="A68" s="37"/>
      <c r="B68" s="38"/>
      <c r="C68" s="38"/>
      <c r="D68" s="39"/>
      <c r="E68" s="38"/>
      <c r="F68" s="38"/>
      <c r="G68" s="39"/>
      <c r="H68" s="39"/>
      <c r="I68" s="38"/>
      <c r="J68" s="50"/>
      <c r="K68" s="38"/>
      <c r="L68" s="50"/>
      <c r="M68" s="40"/>
      <c r="N68" s="40"/>
      <c r="O68" s="40"/>
      <c r="P68" s="38"/>
      <c r="Q68" s="38"/>
      <c r="R68" s="39"/>
      <c r="S68" s="10"/>
      <c r="T68" s="10"/>
    </row>
    <row r="69" spans="1:20" ht="17.25" customHeight="1" x14ac:dyDescent="0.25">
      <c r="A69" s="23" t="s">
        <v>384</v>
      </c>
      <c r="B69" s="18">
        <f>VP!B69+VU!B69</f>
        <v>51390</v>
      </c>
      <c r="C69" s="18">
        <f>VP!C69+VU!C69</f>
        <v>49049.269230769234</v>
      </c>
      <c r="D69" s="19">
        <f>B69/C69-1</f>
        <v>4.7722031458164782E-2</v>
      </c>
      <c r="E69" s="18">
        <f>VP!E69+VU!E69</f>
        <v>55447</v>
      </c>
      <c r="F69" s="18">
        <f>VP!F69+VU!F69</f>
        <v>124</v>
      </c>
      <c r="G69" s="19">
        <f>F69/B69</f>
        <v>2.4129208017123955E-3</v>
      </c>
      <c r="H69" s="20">
        <f>+S69/T69</f>
        <v>0.75028248587570623</v>
      </c>
      <c r="I69" s="17">
        <f>VP!I69+VU!I69</f>
        <v>147</v>
      </c>
      <c r="J69" s="21">
        <f>VP!J69+VU!J69</f>
        <v>189.30769230769232</v>
      </c>
      <c r="K69" s="17">
        <f>VP!K69+VU!K69</f>
        <v>154</v>
      </c>
      <c r="L69" s="21">
        <f>VP!L69+VU!L69</f>
        <v>188.42307692307693</v>
      </c>
      <c r="M69" s="22">
        <f>P69/K69</f>
        <v>8.6428571428571423</v>
      </c>
      <c r="N69" s="22">
        <f>B69/K69</f>
        <v>333.7012987012987</v>
      </c>
      <c r="O69" s="22">
        <f>B69/P69</f>
        <v>38.610067618332081</v>
      </c>
      <c r="P69" s="18">
        <f>VP!P69+VU!P69</f>
        <v>1331</v>
      </c>
      <c r="Q69" s="21">
        <f>VP!Q69+VU!Q69</f>
        <v>1375.5769230769229</v>
      </c>
      <c r="R69" s="19">
        <f>P69/Q69-1</f>
        <v>-3.240598350342494E-2</v>
      </c>
      <c r="S69" s="10">
        <f>VP!S69+VU!S69</f>
        <v>1328</v>
      </c>
      <c r="T69" s="10">
        <f>VP!T69+VU!T69</f>
        <v>1770</v>
      </c>
    </row>
    <row r="70" spans="1:20" x14ac:dyDescent="0.25">
      <c r="J70" s="15"/>
      <c r="L70" s="15"/>
      <c r="Q70" s="10"/>
    </row>
    <row r="71" spans="1:20" ht="17.25" customHeight="1" x14ac:dyDescent="0.25">
      <c r="A71" s="17" t="s">
        <v>292</v>
      </c>
      <c r="B71" s="18">
        <f>+B10+B25+B40+B52+B67+B69</f>
        <v>2810569</v>
      </c>
      <c r="C71" s="18">
        <f>+C10+C25+C40+C52+C67+C69</f>
        <v>2125729.8846153845</v>
      </c>
      <c r="D71" s="19">
        <f>B71/C71-1</f>
        <v>0.32216657456858666</v>
      </c>
      <c r="E71" s="18">
        <f>+E10+E25+E40+E52+E67+E69</f>
        <v>2402999</v>
      </c>
      <c r="F71" s="18">
        <f>+F10+F25+F40+F52+F67+F69</f>
        <v>37591</v>
      </c>
      <c r="G71" s="19">
        <f>F71/B71</f>
        <v>1.3374871778632726E-2</v>
      </c>
      <c r="H71" s="19">
        <f>+S71/T71</f>
        <v>0.63264837373364502</v>
      </c>
      <c r="I71" s="18">
        <f>+I10+I25+I40+I52+I67+I69</f>
        <v>8587</v>
      </c>
      <c r="J71" s="21">
        <f>+J10+J25+J40+J52+J67+J69</f>
        <v>7535.2307692307695</v>
      </c>
      <c r="K71" s="18">
        <f>+K10+K25+K40+K52+K67+K69</f>
        <v>8639</v>
      </c>
      <c r="L71" s="18">
        <f>+L10+L25+L40+L52+L67+L69</f>
        <v>7329.1923076923076</v>
      </c>
      <c r="M71" s="22">
        <f>P71/K71</f>
        <v>9.2224794536404673</v>
      </c>
      <c r="N71" s="22">
        <f>B71/K71</f>
        <v>325.33499247598104</v>
      </c>
      <c r="O71" s="22">
        <f>B71/P71</f>
        <v>35.276304394211337</v>
      </c>
      <c r="P71" s="18">
        <f>+P10+P25+P40+P52+P67+P69</f>
        <v>79673</v>
      </c>
      <c r="Q71" s="18">
        <f>+Q10+Q25+Q40+Q52+Q67+Q69</f>
        <v>66287.038461538468</v>
      </c>
      <c r="R71" s="19">
        <f>P71/Q71-1</f>
        <v>0.20193935117841222</v>
      </c>
      <c r="S71" s="10">
        <f>+S10+S25+S40+S52+S67</f>
        <v>77123</v>
      </c>
      <c r="T71" s="10">
        <f>+T10+T25+T40+T52+T67</f>
        <v>121905</v>
      </c>
    </row>
  </sheetData>
  <pageMargins left="0.23622047244094491" right="0.23622047244094491" top="0.74803149606299213" bottom="0.74803149606299213" header="0.31496062992125984" footer="0.31496062992125984"/>
  <pageSetup paperSize="9" scale="65" fitToHeight="0" orientation="landscape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F7"/>
  <sheetViews>
    <sheetView workbookViewId="0">
      <selection activeCell="C10" sqref="C10"/>
    </sheetView>
  </sheetViews>
  <sheetFormatPr baseColWidth="10" defaultRowHeight="15" x14ac:dyDescent="0.25"/>
  <cols>
    <col min="1" max="1" width="20.7109375" bestFit="1" customWidth="1"/>
    <col min="2" max="2" width="5" bestFit="1" customWidth="1"/>
    <col min="4" max="4" width="8.140625" bestFit="1" customWidth="1"/>
    <col min="6" max="6" width="7.7109375" bestFit="1" customWidth="1"/>
  </cols>
  <sheetData>
    <row r="1" spans="1:6" x14ac:dyDescent="0.25">
      <c r="A1" t="s">
        <v>293</v>
      </c>
      <c r="B1" s="25">
        <v>26</v>
      </c>
    </row>
    <row r="2" spans="1:6" x14ac:dyDescent="0.25">
      <c r="A2" t="s">
        <v>294</v>
      </c>
      <c r="B2" s="25">
        <v>23</v>
      </c>
      <c r="D2" s="8">
        <f>+B2/B1</f>
        <v>0.88461538461538458</v>
      </c>
    </row>
    <row r="4" spans="1:6" x14ac:dyDescent="0.25">
      <c r="F4" s="9">
        <f>D6-D2</f>
        <v>3.5384615384615459E-2</v>
      </c>
    </row>
    <row r="5" spans="1:6" x14ac:dyDescent="0.25">
      <c r="A5" t="s">
        <v>295</v>
      </c>
      <c r="B5" s="25">
        <v>25</v>
      </c>
    </row>
    <row r="6" spans="1:6" x14ac:dyDescent="0.25">
      <c r="A6" t="s">
        <v>296</v>
      </c>
      <c r="B6" s="25">
        <v>23</v>
      </c>
      <c r="D6" s="8">
        <f>+B6/B5</f>
        <v>0.92</v>
      </c>
    </row>
    <row r="7" spans="1:6" x14ac:dyDescent="0.25">
      <c r="F7" t="s">
        <v>310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T100"/>
  <sheetViews>
    <sheetView workbookViewId="0"/>
  </sheetViews>
  <sheetFormatPr baseColWidth="10" defaultRowHeight="15" x14ac:dyDescent="0.25"/>
  <cols>
    <col min="1" max="1" width="12.5703125" style="3" bestFit="1" customWidth="1"/>
    <col min="2" max="2" width="19" bestFit="1" customWidth="1"/>
    <col min="3" max="3" width="7.7109375" style="2" bestFit="1" customWidth="1"/>
    <col min="4" max="4" width="18.7109375" bestFit="1" customWidth="1"/>
    <col min="5" max="5" width="15.140625" bestFit="1" customWidth="1"/>
    <col min="6" max="6" width="18.5703125" bestFit="1" customWidth="1"/>
    <col min="7" max="7" width="11.5703125" bestFit="1" customWidth="1"/>
    <col min="8" max="8" width="17.42578125" bestFit="1" customWidth="1"/>
    <col min="9" max="9" width="15.85546875" bestFit="1" customWidth="1"/>
    <col min="10" max="10" width="20.5703125" bestFit="1" customWidth="1"/>
    <col min="11" max="11" width="13.85546875" bestFit="1" customWidth="1"/>
    <col min="12" max="12" width="12" bestFit="1" customWidth="1"/>
    <col min="13" max="13" width="11.5703125" bestFit="1" customWidth="1"/>
    <col min="14" max="14" width="16.5703125" bestFit="1" customWidth="1"/>
    <col min="15" max="15" width="23.42578125" bestFit="1" customWidth="1"/>
    <col min="16" max="16" width="15.28515625" bestFit="1" customWidth="1"/>
    <col min="17" max="17" width="19" bestFit="1" customWidth="1"/>
    <col min="18" max="18" width="15.42578125" bestFit="1" customWidth="1"/>
    <col min="19" max="19" width="18.85546875" bestFit="1" customWidth="1"/>
    <col min="20" max="20" width="11.85546875" bestFit="1" customWidth="1"/>
    <col min="21" max="21" width="17.7109375" bestFit="1" customWidth="1"/>
    <col min="22" max="22" width="16.28515625" bestFit="1" customWidth="1"/>
    <col min="23" max="23" width="20.85546875" bestFit="1" customWidth="1"/>
    <col min="24" max="24" width="14.140625" bestFit="1" customWidth="1"/>
    <col min="25" max="25" width="12.28515625" bestFit="1" customWidth="1"/>
    <col min="26" max="26" width="11.85546875" bestFit="1" customWidth="1"/>
    <col min="27" max="27" width="16.85546875" bestFit="1" customWidth="1"/>
    <col min="28" max="28" width="23.7109375" bestFit="1" customWidth="1"/>
    <col min="29" max="29" width="15.5703125" bestFit="1" customWidth="1"/>
    <col min="30" max="30" width="21.5703125" bestFit="1" customWidth="1"/>
    <col min="31" max="31" width="18" bestFit="1" customWidth="1"/>
    <col min="32" max="32" width="21.42578125" bestFit="1" customWidth="1"/>
    <col min="33" max="33" width="14.28515625" bestFit="1" customWidth="1"/>
    <col min="34" max="34" width="20.140625" bestFit="1" customWidth="1"/>
    <col min="35" max="35" width="18.7109375" bestFit="1" customWidth="1"/>
    <col min="36" max="36" width="23.42578125" bestFit="1" customWidth="1"/>
    <col min="37" max="37" width="16.7109375" bestFit="1" customWidth="1"/>
    <col min="38" max="38" width="14.7109375" bestFit="1" customWidth="1"/>
    <col min="39" max="39" width="14.28515625" bestFit="1" customWidth="1"/>
    <col min="40" max="40" width="19.28515625" bestFit="1" customWidth="1"/>
    <col min="41" max="41" width="26.140625" bestFit="1" customWidth="1"/>
    <col min="42" max="42" width="18.140625" bestFit="1" customWidth="1"/>
    <col min="43" max="43" width="15.42578125" bestFit="1" customWidth="1"/>
    <col min="44" max="44" width="13.28515625" bestFit="1" customWidth="1"/>
    <col min="45" max="45" width="14.140625" bestFit="1" customWidth="1"/>
    <col min="46" max="46" width="18.5703125" bestFit="1" customWidth="1"/>
  </cols>
  <sheetData>
    <row r="1" spans="1:46" x14ac:dyDescent="0.25">
      <c r="A1" s="3" t="s">
        <v>0</v>
      </c>
      <c r="B1" t="s">
        <v>1</v>
      </c>
      <c r="C1" s="2" t="s">
        <v>15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</row>
    <row r="2" spans="1:46" x14ac:dyDescent="0.25">
      <c r="A2" s="3" t="s">
        <v>64</v>
      </c>
      <c r="B2" s="9" t="s">
        <v>311</v>
      </c>
      <c r="C2" s="2">
        <v>44764</v>
      </c>
      <c r="D2">
        <v>287</v>
      </c>
      <c r="E2">
        <v>96.8</v>
      </c>
      <c r="F2">
        <v>3.2</v>
      </c>
      <c r="G2" s="1">
        <v>86364</v>
      </c>
      <c r="H2">
        <v>300.92</v>
      </c>
      <c r="I2">
        <v>31.2</v>
      </c>
      <c r="J2" s="1">
        <v>2768</v>
      </c>
      <c r="K2">
        <v>9.65</v>
      </c>
      <c r="L2" s="1"/>
      <c r="M2">
        <v>66.5</v>
      </c>
      <c r="N2" s="1">
        <v>4162</v>
      </c>
      <c r="O2">
        <v>149</v>
      </c>
      <c r="P2">
        <v>259</v>
      </c>
      <c r="Q2">
        <v>19</v>
      </c>
      <c r="R2">
        <v>52.6</v>
      </c>
      <c r="S2">
        <v>47.4</v>
      </c>
      <c r="T2" s="1">
        <v>1591</v>
      </c>
      <c r="U2">
        <v>83.74</v>
      </c>
      <c r="V2">
        <v>64.62</v>
      </c>
      <c r="W2">
        <v>24</v>
      </c>
      <c r="X2">
        <v>1.3</v>
      </c>
      <c r="Y2" s="1">
        <v>915</v>
      </c>
      <c r="Z2">
        <v>39.700000000000003</v>
      </c>
      <c r="AA2">
        <v>62</v>
      </c>
      <c r="AB2">
        <v>2</v>
      </c>
      <c r="AC2">
        <v>20</v>
      </c>
      <c r="AD2">
        <v>306</v>
      </c>
      <c r="AE2">
        <v>94.1</v>
      </c>
      <c r="AF2">
        <v>5.9</v>
      </c>
      <c r="AG2" s="1">
        <v>87955</v>
      </c>
      <c r="AH2">
        <v>287.43</v>
      </c>
      <c r="AI2">
        <v>31.49</v>
      </c>
      <c r="AJ2" s="1">
        <v>2792</v>
      </c>
      <c r="AK2">
        <v>9.1300000000000008</v>
      </c>
      <c r="AL2" s="1">
        <v>669</v>
      </c>
      <c r="AM2">
        <v>66.099999999999994</v>
      </c>
      <c r="AN2" s="1">
        <v>4224</v>
      </c>
      <c r="AO2">
        <v>151</v>
      </c>
      <c r="AP2">
        <v>279</v>
      </c>
      <c r="AQ2" s="1">
        <v>3568</v>
      </c>
      <c r="AR2" s="1">
        <v>3</v>
      </c>
      <c r="AS2" s="1">
        <v>930</v>
      </c>
      <c r="AT2" s="1">
        <v>1028</v>
      </c>
    </row>
    <row r="3" spans="1:46" x14ac:dyDescent="0.25">
      <c r="A3" s="3" t="s">
        <v>66</v>
      </c>
      <c r="B3" s="9" t="s">
        <v>375</v>
      </c>
      <c r="C3" s="2">
        <v>44764</v>
      </c>
      <c r="D3">
        <v>7</v>
      </c>
      <c r="E3">
        <v>85.7</v>
      </c>
      <c r="F3">
        <v>14.3</v>
      </c>
      <c r="G3" s="1">
        <v>2328</v>
      </c>
      <c r="H3">
        <v>332.57</v>
      </c>
      <c r="I3">
        <v>26.78</v>
      </c>
      <c r="J3" s="1">
        <v>86</v>
      </c>
      <c r="K3">
        <v>12.42</v>
      </c>
      <c r="L3" s="1"/>
      <c r="M3">
        <v>110</v>
      </c>
      <c r="N3" s="1">
        <v>79</v>
      </c>
      <c r="O3">
        <v>3</v>
      </c>
      <c r="P3">
        <v>6</v>
      </c>
      <c r="Q3">
        <v>0</v>
      </c>
      <c r="R3">
        <v>0</v>
      </c>
      <c r="S3">
        <v>0</v>
      </c>
      <c r="T3" s="1">
        <v>0</v>
      </c>
      <c r="U3">
        <v>0</v>
      </c>
      <c r="V3">
        <v>0</v>
      </c>
      <c r="W3">
        <v>0</v>
      </c>
      <c r="X3">
        <v>0</v>
      </c>
      <c r="Y3" s="1">
        <v>0</v>
      </c>
      <c r="Z3">
        <v>0</v>
      </c>
      <c r="AA3">
        <v>0</v>
      </c>
      <c r="AB3">
        <v>0</v>
      </c>
      <c r="AC3">
        <v>0</v>
      </c>
      <c r="AD3">
        <v>7</v>
      </c>
      <c r="AE3">
        <v>85.7</v>
      </c>
      <c r="AF3">
        <v>14.3</v>
      </c>
      <c r="AG3" s="1">
        <v>2328</v>
      </c>
      <c r="AH3">
        <v>332.57</v>
      </c>
      <c r="AI3">
        <v>26.78</v>
      </c>
      <c r="AJ3" s="1">
        <v>86</v>
      </c>
      <c r="AK3">
        <v>12.42</v>
      </c>
      <c r="AL3" s="1">
        <v>889</v>
      </c>
      <c r="AM3">
        <v>110</v>
      </c>
      <c r="AN3" s="1">
        <v>79</v>
      </c>
      <c r="AO3">
        <v>3</v>
      </c>
      <c r="AP3">
        <v>6</v>
      </c>
      <c r="AQ3" s="1">
        <v>0</v>
      </c>
      <c r="AR3" s="1">
        <v>0</v>
      </c>
      <c r="AS3">
        <v>0</v>
      </c>
      <c r="AT3" s="1">
        <v>10</v>
      </c>
    </row>
    <row r="4" spans="1:46" x14ac:dyDescent="0.25">
      <c r="A4" s="3" t="s">
        <v>111</v>
      </c>
      <c r="B4" s="9" t="s">
        <v>312</v>
      </c>
      <c r="C4" s="2">
        <v>44764</v>
      </c>
      <c r="D4">
        <v>24</v>
      </c>
      <c r="E4">
        <v>100</v>
      </c>
      <c r="F4">
        <v>0</v>
      </c>
      <c r="G4" s="1">
        <v>3933</v>
      </c>
      <c r="H4">
        <v>163.88</v>
      </c>
      <c r="I4">
        <v>36.11</v>
      </c>
      <c r="J4" s="1">
        <v>108</v>
      </c>
      <c r="K4">
        <v>4.54</v>
      </c>
      <c r="L4" s="1"/>
      <c r="M4">
        <v>26.6</v>
      </c>
      <c r="N4" s="1">
        <v>409</v>
      </c>
      <c r="O4">
        <v>15</v>
      </c>
      <c r="P4">
        <v>21</v>
      </c>
      <c r="Q4">
        <v>1</v>
      </c>
      <c r="R4">
        <v>0</v>
      </c>
      <c r="S4">
        <v>100</v>
      </c>
      <c r="T4" s="1">
        <v>65</v>
      </c>
      <c r="U4">
        <v>65</v>
      </c>
      <c r="V4">
        <v>78.31</v>
      </c>
      <c r="W4">
        <v>0</v>
      </c>
      <c r="X4">
        <v>0.83</v>
      </c>
      <c r="Y4" s="1">
        <v>0</v>
      </c>
      <c r="Z4">
        <v>13.8</v>
      </c>
      <c r="AA4">
        <v>6</v>
      </c>
      <c r="AB4">
        <v>0</v>
      </c>
      <c r="AC4">
        <v>1</v>
      </c>
      <c r="AD4">
        <v>25</v>
      </c>
      <c r="AE4">
        <v>96</v>
      </c>
      <c r="AF4">
        <v>4</v>
      </c>
      <c r="AG4" s="1">
        <v>3998</v>
      </c>
      <c r="AH4">
        <v>159.91999999999999</v>
      </c>
      <c r="AI4">
        <v>36.43</v>
      </c>
      <c r="AJ4" s="1">
        <v>109</v>
      </c>
      <c r="AK4">
        <v>4.3899999999999997</v>
      </c>
      <c r="AL4" s="1">
        <v>306</v>
      </c>
      <c r="AM4">
        <v>26.4</v>
      </c>
      <c r="AN4" s="1">
        <v>415</v>
      </c>
      <c r="AO4">
        <v>15</v>
      </c>
      <c r="AP4">
        <v>22</v>
      </c>
      <c r="AQ4">
        <v>229</v>
      </c>
      <c r="AR4">
        <v>0</v>
      </c>
      <c r="AS4">
        <v>168</v>
      </c>
      <c r="AT4">
        <v>95</v>
      </c>
    </row>
    <row r="5" spans="1:46" x14ac:dyDescent="0.25">
      <c r="A5" s="3" t="s">
        <v>105</v>
      </c>
      <c r="B5" s="9" t="s">
        <v>313</v>
      </c>
      <c r="C5" s="2">
        <v>44764</v>
      </c>
      <c r="D5" s="1">
        <v>14</v>
      </c>
      <c r="E5">
        <v>100</v>
      </c>
      <c r="F5">
        <v>0</v>
      </c>
      <c r="G5" s="1">
        <v>7375</v>
      </c>
      <c r="H5">
        <v>526.79</v>
      </c>
      <c r="I5">
        <v>41.38</v>
      </c>
      <c r="J5" s="1">
        <v>178</v>
      </c>
      <c r="K5">
        <v>12.73</v>
      </c>
      <c r="L5" s="1"/>
      <c r="M5">
        <v>55.5</v>
      </c>
      <c r="N5" s="1">
        <v>321</v>
      </c>
      <c r="O5">
        <v>11</v>
      </c>
      <c r="P5" s="1">
        <v>14</v>
      </c>
      <c r="Q5">
        <v>3</v>
      </c>
      <c r="R5">
        <v>66.599999999999994</v>
      </c>
      <c r="S5">
        <v>33.4</v>
      </c>
      <c r="T5" s="1">
        <v>62</v>
      </c>
      <c r="U5">
        <v>20.67</v>
      </c>
      <c r="V5">
        <v>38.270000000000003</v>
      </c>
      <c r="W5">
        <v>1</v>
      </c>
      <c r="X5">
        <v>0.54</v>
      </c>
      <c r="Y5" s="1">
        <v>0</v>
      </c>
      <c r="Z5">
        <v>12.5</v>
      </c>
      <c r="AA5">
        <v>13</v>
      </c>
      <c r="AB5">
        <v>0</v>
      </c>
      <c r="AC5">
        <v>2</v>
      </c>
      <c r="AD5" s="1">
        <v>17</v>
      </c>
      <c r="AE5">
        <v>94.1</v>
      </c>
      <c r="AF5">
        <v>5.9</v>
      </c>
      <c r="AG5" s="1">
        <v>7437</v>
      </c>
      <c r="AH5">
        <v>437.47</v>
      </c>
      <c r="AI5">
        <v>41.35</v>
      </c>
      <c r="AJ5" s="1">
        <v>179</v>
      </c>
      <c r="AK5">
        <v>10.58</v>
      </c>
      <c r="AL5" s="1">
        <v>710</v>
      </c>
      <c r="AM5">
        <v>53.8</v>
      </c>
      <c r="AN5" s="1">
        <v>334</v>
      </c>
      <c r="AO5">
        <v>12</v>
      </c>
      <c r="AP5" s="1">
        <v>16</v>
      </c>
      <c r="AQ5" s="1">
        <v>123</v>
      </c>
      <c r="AR5">
        <v>0</v>
      </c>
      <c r="AS5" s="1">
        <v>90</v>
      </c>
      <c r="AT5" s="1">
        <v>35</v>
      </c>
    </row>
    <row r="6" spans="1:46" x14ac:dyDescent="0.25">
      <c r="A6" s="3" t="s">
        <v>60</v>
      </c>
      <c r="B6" t="s">
        <v>314</v>
      </c>
      <c r="C6" s="2">
        <v>44764</v>
      </c>
      <c r="D6">
        <v>143</v>
      </c>
      <c r="E6">
        <v>95.8</v>
      </c>
      <c r="F6">
        <v>4.2</v>
      </c>
      <c r="G6" s="1">
        <v>45962</v>
      </c>
      <c r="H6" s="31">
        <v>321.41000000000003</v>
      </c>
      <c r="I6">
        <v>29.56</v>
      </c>
      <c r="J6" s="1">
        <v>1555</v>
      </c>
      <c r="K6">
        <v>10.87</v>
      </c>
      <c r="L6" s="1"/>
      <c r="M6">
        <v>70.099999999999994</v>
      </c>
      <c r="N6" s="1">
        <v>2219</v>
      </c>
      <c r="O6">
        <v>79</v>
      </c>
      <c r="P6">
        <v>148</v>
      </c>
      <c r="Q6">
        <v>8</v>
      </c>
      <c r="R6">
        <v>87.5</v>
      </c>
      <c r="S6">
        <v>12.5</v>
      </c>
      <c r="T6" s="1">
        <v>578</v>
      </c>
      <c r="U6">
        <v>72.25</v>
      </c>
      <c r="V6">
        <v>40.700000000000003</v>
      </c>
      <c r="W6">
        <v>14</v>
      </c>
      <c r="X6">
        <v>1.78</v>
      </c>
      <c r="Y6" s="1">
        <v>0</v>
      </c>
      <c r="Z6">
        <v>109.2</v>
      </c>
      <c r="AA6">
        <v>13</v>
      </c>
      <c r="AB6">
        <v>0</v>
      </c>
      <c r="AC6">
        <v>6</v>
      </c>
      <c r="AD6">
        <v>151</v>
      </c>
      <c r="AE6">
        <v>95.3</v>
      </c>
      <c r="AF6">
        <v>4.7</v>
      </c>
      <c r="AG6" s="1">
        <v>46540</v>
      </c>
      <c r="AH6" s="31">
        <v>308.20999999999998</v>
      </c>
      <c r="AI6">
        <v>29.66</v>
      </c>
      <c r="AJ6" s="1">
        <v>1569</v>
      </c>
      <c r="AK6">
        <v>10.39</v>
      </c>
      <c r="AL6" s="1">
        <v>668</v>
      </c>
      <c r="AM6">
        <v>70.3</v>
      </c>
      <c r="AN6" s="1">
        <v>2232</v>
      </c>
      <c r="AO6">
        <v>80</v>
      </c>
      <c r="AP6">
        <v>154</v>
      </c>
      <c r="AQ6" s="1">
        <v>1213</v>
      </c>
      <c r="AR6">
        <v>0</v>
      </c>
      <c r="AS6" s="1">
        <v>731</v>
      </c>
      <c r="AT6" s="1">
        <v>534</v>
      </c>
    </row>
    <row r="7" spans="1:46" x14ac:dyDescent="0.25">
      <c r="A7" s="3" t="s">
        <v>216</v>
      </c>
      <c r="B7" t="s">
        <v>201</v>
      </c>
      <c r="C7" s="2">
        <v>44764</v>
      </c>
      <c r="D7">
        <v>0</v>
      </c>
      <c r="E7">
        <v>0</v>
      </c>
      <c r="F7">
        <v>0</v>
      </c>
      <c r="G7" s="1">
        <v>0</v>
      </c>
      <c r="H7">
        <v>0</v>
      </c>
      <c r="I7">
        <v>0</v>
      </c>
      <c r="J7" s="1">
        <v>0</v>
      </c>
      <c r="K7">
        <v>0</v>
      </c>
      <c r="L7" s="1">
        <v>0</v>
      </c>
      <c r="M7">
        <v>0</v>
      </c>
      <c r="N7" s="1">
        <v>0</v>
      </c>
      <c r="O7">
        <v>0</v>
      </c>
      <c r="P7">
        <v>0</v>
      </c>
      <c r="Q7">
        <v>0</v>
      </c>
      <c r="R7">
        <v>0</v>
      </c>
      <c r="S7">
        <v>0</v>
      </c>
      <c r="T7" s="1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 s="1">
        <v>0</v>
      </c>
      <c r="AH7">
        <v>0</v>
      </c>
      <c r="AI7">
        <v>0</v>
      </c>
      <c r="AJ7" s="1">
        <v>0</v>
      </c>
      <c r="AK7">
        <v>0</v>
      </c>
      <c r="AL7" s="1">
        <v>0</v>
      </c>
      <c r="AM7">
        <v>0</v>
      </c>
      <c r="AN7" s="1">
        <v>0</v>
      </c>
      <c r="AO7">
        <v>0</v>
      </c>
      <c r="AP7">
        <v>0</v>
      </c>
      <c r="AQ7" s="1">
        <v>0</v>
      </c>
      <c r="AR7">
        <v>0</v>
      </c>
      <c r="AS7" s="1">
        <v>0</v>
      </c>
      <c r="AT7" s="1">
        <v>0</v>
      </c>
    </row>
    <row r="8" spans="1:46" x14ac:dyDescent="0.25">
      <c r="A8" s="3" t="s">
        <v>107</v>
      </c>
      <c r="B8" t="s">
        <v>315</v>
      </c>
      <c r="C8" s="2">
        <v>44764</v>
      </c>
      <c r="D8">
        <v>38</v>
      </c>
      <c r="E8">
        <v>97.3</v>
      </c>
      <c r="F8">
        <v>2.7</v>
      </c>
      <c r="G8" s="1">
        <v>7973</v>
      </c>
      <c r="H8">
        <v>209.82</v>
      </c>
      <c r="I8">
        <v>33.46</v>
      </c>
      <c r="J8">
        <v>238</v>
      </c>
      <c r="K8">
        <v>6.27</v>
      </c>
      <c r="L8" s="1"/>
      <c r="M8">
        <v>69.900000000000006</v>
      </c>
      <c r="N8">
        <v>341</v>
      </c>
      <c r="O8">
        <v>12</v>
      </c>
      <c r="P8">
        <v>27</v>
      </c>
      <c r="Q8">
        <v>2</v>
      </c>
      <c r="R8">
        <v>50</v>
      </c>
      <c r="S8">
        <v>50</v>
      </c>
      <c r="T8" s="1">
        <v>62</v>
      </c>
      <c r="U8">
        <v>31</v>
      </c>
      <c r="V8">
        <v>51.67</v>
      </c>
      <c r="W8">
        <v>1</v>
      </c>
      <c r="X8">
        <v>0.6</v>
      </c>
      <c r="Y8" s="1">
        <v>0</v>
      </c>
      <c r="Z8">
        <v>120</v>
      </c>
      <c r="AA8">
        <v>1</v>
      </c>
      <c r="AB8">
        <v>0</v>
      </c>
      <c r="AC8">
        <v>3</v>
      </c>
      <c r="AD8">
        <v>40</v>
      </c>
      <c r="AE8">
        <v>95</v>
      </c>
      <c r="AF8">
        <v>5</v>
      </c>
      <c r="AG8" s="1">
        <v>8035</v>
      </c>
      <c r="AH8">
        <v>200.88</v>
      </c>
      <c r="AI8">
        <v>33.549999999999997</v>
      </c>
      <c r="AJ8">
        <v>239</v>
      </c>
      <c r="AK8">
        <v>5.99</v>
      </c>
      <c r="AL8" s="1">
        <v>770</v>
      </c>
      <c r="AM8">
        <v>70</v>
      </c>
      <c r="AN8" s="1">
        <v>342</v>
      </c>
      <c r="AO8">
        <v>12</v>
      </c>
      <c r="AP8">
        <v>30</v>
      </c>
      <c r="AQ8">
        <v>0</v>
      </c>
      <c r="AR8">
        <v>0</v>
      </c>
      <c r="AS8">
        <v>188</v>
      </c>
      <c r="AT8">
        <v>240</v>
      </c>
    </row>
    <row r="9" spans="1:46" x14ac:dyDescent="0.25">
      <c r="A9" s="3" t="s">
        <v>68</v>
      </c>
      <c r="B9" t="s">
        <v>316</v>
      </c>
      <c r="C9" s="2">
        <v>44764</v>
      </c>
      <c r="D9">
        <v>147</v>
      </c>
      <c r="E9">
        <v>97.2</v>
      </c>
      <c r="F9">
        <v>2.8</v>
      </c>
      <c r="G9" s="1">
        <v>45452</v>
      </c>
      <c r="H9">
        <v>309.2</v>
      </c>
      <c r="I9">
        <v>31.35</v>
      </c>
      <c r="J9" s="1">
        <v>1449</v>
      </c>
      <c r="K9">
        <v>9.86</v>
      </c>
      <c r="L9" s="1"/>
      <c r="M9">
        <v>62.8</v>
      </c>
      <c r="N9" s="1">
        <v>2309</v>
      </c>
      <c r="O9">
        <v>82</v>
      </c>
      <c r="P9">
        <v>151</v>
      </c>
      <c r="Q9">
        <v>10</v>
      </c>
      <c r="R9">
        <v>60</v>
      </c>
      <c r="S9">
        <v>40</v>
      </c>
      <c r="T9" s="1">
        <v>762</v>
      </c>
      <c r="U9">
        <v>76.2</v>
      </c>
      <c r="V9">
        <v>26.86</v>
      </c>
      <c r="W9">
        <v>28</v>
      </c>
      <c r="X9">
        <v>2.84</v>
      </c>
      <c r="Y9" s="1">
        <v>868</v>
      </c>
      <c r="Z9">
        <v>81.099999999999994</v>
      </c>
      <c r="AA9">
        <v>35</v>
      </c>
      <c r="AB9">
        <v>1</v>
      </c>
      <c r="AC9">
        <v>8</v>
      </c>
      <c r="AD9">
        <v>157</v>
      </c>
      <c r="AE9">
        <v>94.9</v>
      </c>
      <c r="AF9">
        <v>5.0999999999999996</v>
      </c>
      <c r="AG9" s="1">
        <v>46214</v>
      </c>
      <c r="AH9">
        <v>294.36</v>
      </c>
      <c r="AI9">
        <v>31.27</v>
      </c>
      <c r="AJ9" s="1">
        <v>1478</v>
      </c>
      <c r="AK9">
        <v>9.41</v>
      </c>
      <c r="AL9" s="1">
        <v>632</v>
      </c>
      <c r="AM9">
        <v>63</v>
      </c>
      <c r="AN9" s="1">
        <v>2344</v>
      </c>
      <c r="AO9">
        <v>84</v>
      </c>
      <c r="AP9">
        <v>159</v>
      </c>
      <c r="AQ9" s="1">
        <v>5045</v>
      </c>
      <c r="AR9">
        <v>0</v>
      </c>
      <c r="AS9" s="1">
        <v>597</v>
      </c>
      <c r="AT9" s="1">
        <v>528</v>
      </c>
    </row>
    <row r="10" spans="1:46" x14ac:dyDescent="0.25">
      <c r="A10" s="3" t="s">
        <v>70</v>
      </c>
      <c r="B10" t="s">
        <v>71</v>
      </c>
      <c r="C10" s="2">
        <v>44764</v>
      </c>
      <c r="D10">
        <v>0</v>
      </c>
      <c r="E10">
        <v>0</v>
      </c>
      <c r="F10">
        <v>0</v>
      </c>
      <c r="G10" s="1">
        <v>0</v>
      </c>
      <c r="H10" s="31">
        <v>0</v>
      </c>
      <c r="I10">
        <v>0</v>
      </c>
      <c r="J10" s="1">
        <v>0</v>
      </c>
      <c r="K10">
        <v>0</v>
      </c>
      <c r="L10" s="1">
        <v>0</v>
      </c>
      <c r="M10">
        <v>0</v>
      </c>
      <c r="N10" s="1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 s="1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 s="1">
        <v>0</v>
      </c>
      <c r="AH10" s="31">
        <v>0</v>
      </c>
      <c r="AI10">
        <v>0</v>
      </c>
      <c r="AJ10" s="1">
        <v>0</v>
      </c>
      <c r="AK10">
        <v>0</v>
      </c>
      <c r="AL10" s="1">
        <v>0</v>
      </c>
      <c r="AM10">
        <v>0</v>
      </c>
      <c r="AN10" s="1">
        <v>0</v>
      </c>
      <c r="AO10">
        <v>0</v>
      </c>
      <c r="AP10">
        <v>0</v>
      </c>
      <c r="AQ10" s="1">
        <v>0</v>
      </c>
      <c r="AR10">
        <v>0</v>
      </c>
      <c r="AS10" s="1">
        <v>0</v>
      </c>
      <c r="AT10">
        <v>0</v>
      </c>
    </row>
    <row r="11" spans="1:46" x14ac:dyDescent="0.25">
      <c r="A11" s="3" t="s">
        <v>72</v>
      </c>
      <c r="B11" t="s">
        <v>317</v>
      </c>
      <c r="C11" s="2">
        <v>44764</v>
      </c>
      <c r="D11">
        <v>181</v>
      </c>
      <c r="E11">
        <v>97.7</v>
      </c>
      <c r="F11">
        <v>2.2999999999999998</v>
      </c>
      <c r="G11" s="1">
        <v>64404</v>
      </c>
      <c r="H11">
        <v>355.82</v>
      </c>
      <c r="I11">
        <v>31.19</v>
      </c>
      <c r="J11" s="1">
        <v>2064</v>
      </c>
      <c r="K11">
        <v>11.41</v>
      </c>
      <c r="L11" s="1"/>
      <c r="M11">
        <v>70.099999999999994</v>
      </c>
      <c r="N11" s="1">
        <v>2946</v>
      </c>
      <c r="O11">
        <v>105</v>
      </c>
      <c r="P11">
        <v>174</v>
      </c>
      <c r="Q11">
        <v>6</v>
      </c>
      <c r="R11">
        <v>50</v>
      </c>
      <c r="S11">
        <v>50</v>
      </c>
      <c r="T11" s="1">
        <v>144</v>
      </c>
      <c r="U11">
        <v>24</v>
      </c>
      <c r="V11">
        <v>43.37</v>
      </c>
      <c r="W11">
        <v>3</v>
      </c>
      <c r="X11">
        <v>0.55000000000000004</v>
      </c>
      <c r="Y11" s="1">
        <v>0</v>
      </c>
      <c r="Z11">
        <v>41.5</v>
      </c>
      <c r="AA11">
        <v>8</v>
      </c>
      <c r="AB11">
        <v>0</v>
      </c>
      <c r="AC11">
        <v>4</v>
      </c>
      <c r="AD11">
        <v>187</v>
      </c>
      <c r="AE11">
        <v>96.2</v>
      </c>
      <c r="AF11">
        <v>3.8</v>
      </c>
      <c r="AG11" s="1">
        <v>64548</v>
      </c>
      <c r="AH11">
        <v>345.18</v>
      </c>
      <c r="AI11">
        <v>31.21</v>
      </c>
      <c r="AJ11" s="1">
        <v>2068</v>
      </c>
      <c r="AK11">
        <v>11.06</v>
      </c>
      <c r="AL11" s="1">
        <v>699</v>
      </c>
      <c r="AM11">
        <v>70</v>
      </c>
      <c r="AN11" s="1">
        <v>2954</v>
      </c>
      <c r="AO11">
        <v>106</v>
      </c>
      <c r="AP11">
        <v>178</v>
      </c>
      <c r="AQ11" s="1">
        <v>2727</v>
      </c>
      <c r="AR11">
        <v>0</v>
      </c>
      <c r="AS11" s="1">
        <v>554</v>
      </c>
      <c r="AT11" s="1">
        <v>232</v>
      </c>
    </row>
    <row r="12" spans="1:46" x14ac:dyDescent="0.25">
      <c r="A12" s="3" t="s">
        <v>47</v>
      </c>
      <c r="B12" s="9" t="s">
        <v>318</v>
      </c>
      <c r="C12" s="2">
        <v>44764</v>
      </c>
      <c r="D12">
        <v>342</v>
      </c>
      <c r="E12">
        <v>97.6</v>
      </c>
      <c r="F12">
        <v>2.4</v>
      </c>
      <c r="G12" s="1">
        <v>213149</v>
      </c>
      <c r="H12">
        <v>623.24</v>
      </c>
      <c r="I12">
        <v>36.79</v>
      </c>
      <c r="J12" s="1">
        <v>5794</v>
      </c>
      <c r="K12">
        <v>16.940000000000001</v>
      </c>
      <c r="L12" s="1"/>
      <c r="M12">
        <v>65.8</v>
      </c>
      <c r="N12" s="1">
        <v>8806</v>
      </c>
      <c r="O12">
        <v>315</v>
      </c>
      <c r="P12">
        <v>406</v>
      </c>
      <c r="Q12">
        <v>9</v>
      </c>
      <c r="R12">
        <v>88.8</v>
      </c>
      <c r="S12">
        <v>11.2</v>
      </c>
      <c r="T12" s="1">
        <v>214</v>
      </c>
      <c r="U12">
        <v>23.78</v>
      </c>
      <c r="V12">
        <v>44.77</v>
      </c>
      <c r="W12">
        <v>4</v>
      </c>
      <c r="X12">
        <v>0.53</v>
      </c>
      <c r="Y12" s="1">
        <v>0</v>
      </c>
      <c r="Z12">
        <v>47.8</v>
      </c>
      <c r="AA12">
        <v>10</v>
      </c>
      <c r="AB12">
        <v>0</v>
      </c>
      <c r="AC12">
        <v>7</v>
      </c>
      <c r="AD12">
        <v>351</v>
      </c>
      <c r="AE12">
        <v>97.4</v>
      </c>
      <c r="AF12">
        <v>2.6</v>
      </c>
      <c r="AG12" s="1">
        <v>213363</v>
      </c>
      <c r="AH12">
        <v>607.87</v>
      </c>
      <c r="AI12">
        <v>36.79</v>
      </c>
      <c r="AJ12" s="1">
        <v>5798</v>
      </c>
      <c r="AK12">
        <v>16.52</v>
      </c>
      <c r="AL12" s="1">
        <v>778</v>
      </c>
      <c r="AM12">
        <v>65.7</v>
      </c>
      <c r="AN12" s="1">
        <v>8816</v>
      </c>
      <c r="AO12">
        <v>315</v>
      </c>
      <c r="AP12">
        <v>413</v>
      </c>
      <c r="AQ12" s="1">
        <v>6514</v>
      </c>
      <c r="AR12">
        <v>40</v>
      </c>
      <c r="AS12" s="1">
        <v>374</v>
      </c>
      <c r="AT12" s="1">
        <v>466</v>
      </c>
    </row>
    <row r="13" spans="1:46" x14ac:dyDescent="0.25">
      <c r="A13" s="3" t="s">
        <v>129</v>
      </c>
      <c r="B13" t="s">
        <v>130</v>
      </c>
      <c r="C13" s="2">
        <v>44764</v>
      </c>
      <c r="D13">
        <v>0</v>
      </c>
      <c r="E13">
        <v>0</v>
      </c>
      <c r="F13">
        <v>0</v>
      </c>
      <c r="G13" s="1">
        <v>0</v>
      </c>
      <c r="H13">
        <v>0</v>
      </c>
      <c r="I13">
        <v>0</v>
      </c>
      <c r="J13" s="1">
        <v>0</v>
      </c>
      <c r="K13">
        <v>0</v>
      </c>
      <c r="L13">
        <v>0</v>
      </c>
      <c r="M13">
        <v>0</v>
      </c>
      <c r="N13" s="1">
        <v>0</v>
      </c>
      <c r="O13">
        <v>0</v>
      </c>
      <c r="P13">
        <v>0</v>
      </c>
      <c r="Q13">
        <v>0</v>
      </c>
      <c r="R13">
        <v>0</v>
      </c>
      <c r="S13">
        <v>0</v>
      </c>
      <c r="T13" s="1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 s="1">
        <v>0</v>
      </c>
      <c r="AH13">
        <v>0</v>
      </c>
      <c r="AI13">
        <v>0</v>
      </c>
      <c r="AJ13" s="1">
        <v>0</v>
      </c>
      <c r="AK13">
        <v>0</v>
      </c>
      <c r="AL13">
        <v>0</v>
      </c>
      <c r="AM13">
        <v>0</v>
      </c>
      <c r="AN13" s="1">
        <v>0</v>
      </c>
      <c r="AO13">
        <v>0</v>
      </c>
      <c r="AP13">
        <v>0</v>
      </c>
      <c r="AQ13">
        <v>0</v>
      </c>
      <c r="AR13">
        <v>0</v>
      </c>
      <c r="AS13" s="1">
        <v>0</v>
      </c>
      <c r="AT13" s="1">
        <v>0</v>
      </c>
    </row>
    <row r="14" spans="1:46" x14ac:dyDescent="0.25">
      <c r="A14" s="3" t="s">
        <v>48</v>
      </c>
      <c r="B14" s="9" t="s">
        <v>319</v>
      </c>
      <c r="C14" s="2">
        <v>44764</v>
      </c>
      <c r="D14">
        <v>320</v>
      </c>
      <c r="E14">
        <v>99.3</v>
      </c>
      <c r="F14">
        <v>0.7</v>
      </c>
      <c r="G14" s="1">
        <v>136558</v>
      </c>
      <c r="H14">
        <v>426.74</v>
      </c>
      <c r="I14">
        <v>31.77</v>
      </c>
      <c r="J14" s="1">
        <v>4298</v>
      </c>
      <c r="K14">
        <v>13.43</v>
      </c>
      <c r="L14" s="1"/>
      <c r="M14">
        <v>72.8</v>
      </c>
      <c r="N14" s="1">
        <v>5902</v>
      </c>
      <c r="O14">
        <v>211</v>
      </c>
      <c r="P14">
        <v>336</v>
      </c>
      <c r="Q14">
        <v>2</v>
      </c>
      <c r="R14">
        <v>100</v>
      </c>
      <c r="S14">
        <v>0</v>
      </c>
      <c r="T14" s="1">
        <v>471</v>
      </c>
      <c r="U14">
        <v>235.5</v>
      </c>
      <c r="V14">
        <v>16.13</v>
      </c>
      <c r="W14">
        <v>29</v>
      </c>
      <c r="X14">
        <v>14.6</v>
      </c>
      <c r="Y14" s="1">
        <v>0</v>
      </c>
      <c r="Z14">
        <v>0</v>
      </c>
      <c r="AA14">
        <v>0</v>
      </c>
      <c r="AB14">
        <v>0</v>
      </c>
      <c r="AC14">
        <v>0</v>
      </c>
      <c r="AD14">
        <v>322</v>
      </c>
      <c r="AE14">
        <v>99.3</v>
      </c>
      <c r="AF14">
        <v>0.7</v>
      </c>
      <c r="AG14" s="1">
        <v>137029</v>
      </c>
      <c r="AH14">
        <v>425.56</v>
      </c>
      <c r="AI14">
        <v>31.66</v>
      </c>
      <c r="AJ14" s="1">
        <v>4328</v>
      </c>
      <c r="AK14">
        <v>13.44</v>
      </c>
      <c r="AL14" s="1">
        <v>746</v>
      </c>
      <c r="AM14">
        <v>73.3</v>
      </c>
      <c r="AN14" s="1">
        <v>5902</v>
      </c>
      <c r="AO14">
        <v>211</v>
      </c>
      <c r="AP14">
        <v>336</v>
      </c>
      <c r="AQ14" s="1">
        <v>3286</v>
      </c>
      <c r="AR14">
        <v>0</v>
      </c>
      <c r="AS14" s="1">
        <v>816</v>
      </c>
      <c r="AT14">
        <v>15</v>
      </c>
    </row>
    <row r="15" spans="1:46" x14ac:dyDescent="0.25">
      <c r="A15" s="3" t="s">
        <v>56</v>
      </c>
      <c r="B15" t="s">
        <v>320</v>
      </c>
      <c r="C15" s="2">
        <v>44764</v>
      </c>
      <c r="D15" s="1">
        <v>715</v>
      </c>
      <c r="E15">
        <v>93.4</v>
      </c>
      <c r="F15">
        <v>6.6</v>
      </c>
      <c r="G15" s="1">
        <v>127093</v>
      </c>
      <c r="H15">
        <v>177.75</v>
      </c>
      <c r="I15">
        <v>55.11</v>
      </c>
      <c r="J15" s="1">
        <v>2306</v>
      </c>
      <c r="K15">
        <v>3.23</v>
      </c>
      <c r="L15" s="1"/>
      <c r="M15">
        <v>61.2</v>
      </c>
      <c r="N15" s="1">
        <v>3769</v>
      </c>
      <c r="O15">
        <v>135</v>
      </c>
      <c r="P15" s="1">
        <v>740</v>
      </c>
      <c r="Q15">
        <v>49</v>
      </c>
      <c r="R15">
        <v>55.1</v>
      </c>
      <c r="S15">
        <v>44.9</v>
      </c>
      <c r="T15" s="1">
        <v>3012</v>
      </c>
      <c r="U15">
        <v>61.47</v>
      </c>
      <c r="V15">
        <v>75.790000000000006</v>
      </c>
      <c r="W15">
        <v>39</v>
      </c>
      <c r="X15">
        <v>0.81</v>
      </c>
      <c r="Y15" s="1">
        <v>868</v>
      </c>
      <c r="Z15">
        <v>32.799999999999997</v>
      </c>
      <c r="AA15">
        <v>121</v>
      </c>
      <c r="AB15">
        <v>4</v>
      </c>
      <c r="AC15">
        <v>43</v>
      </c>
      <c r="AD15" s="1">
        <v>764</v>
      </c>
      <c r="AE15">
        <v>90.9</v>
      </c>
      <c r="AF15">
        <v>9.1</v>
      </c>
      <c r="AG15" s="1">
        <v>130105</v>
      </c>
      <c r="AH15">
        <v>170.29</v>
      </c>
      <c r="AI15">
        <v>55.46</v>
      </c>
      <c r="AJ15" s="1">
        <v>2346</v>
      </c>
      <c r="AK15">
        <v>3.07</v>
      </c>
      <c r="AL15" s="1">
        <v>1075</v>
      </c>
      <c r="AM15">
        <v>60.3</v>
      </c>
      <c r="AN15" s="1">
        <v>3890</v>
      </c>
      <c r="AO15">
        <v>139</v>
      </c>
      <c r="AP15" s="1">
        <v>783</v>
      </c>
      <c r="AQ15" s="1">
        <v>6211</v>
      </c>
      <c r="AR15">
        <v>0</v>
      </c>
      <c r="AS15" s="1">
        <v>1179</v>
      </c>
      <c r="AT15" s="1">
        <v>3313</v>
      </c>
    </row>
    <row r="16" spans="1:46" x14ac:dyDescent="0.25">
      <c r="A16" s="3" t="s">
        <v>58</v>
      </c>
      <c r="B16" t="s">
        <v>321</v>
      </c>
      <c r="C16" s="2">
        <v>44764</v>
      </c>
      <c r="D16">
        <v>345</v>
      </c>
      <c r="E16">
        <v>99.1</v>
      </c>
      <c r="F16">
        <v>0.9</v>
      </c>
      <c r="G16" s="1">
        <v>137713</v>
      </c>
      <c r="H16">
        <v>399.17</v>
      </c>
      <c r="I16">
        <v>24.93</v>
      </c>
      <c r="J16" s="1">
        <v>5523</v>
      </c>
      <c r="K16">
        <v>16.010000000000002</v>
      </c>
      <c r="L16" s="1"/>
      <c r="M16">
        <v>75.3</v>
      </c>
      <c r="N16" s="1">
        <v>7331</v>
      </c>
      <c r="O16">
        <v>262</v>
      </c>
      <c r="P16">
        <v>340</v>
      </c>
      <c r="Q16">
        <v>4</v>
      </c>
      <c r="R16">
        <v>75</v>
      </c>
      <c r="S16">
        <v>25</v>
      </c>
      <c r="T16" s="1">
        <v>141</v>
      </c>
      <c r="U16" s="31">
        <v>35.25</v>
      </c>
      <c r="V16">
        <v>35.25</v>
      </c>
      <c r="W16">
        <v>4</v>
      </c>
      <c r="X16">
        <v>1</v>
      </c>
      <c r="Y16" s="1">
        <v>0</v>
      </c>
      <c r="Z16">
        <v>133.30000000000001</v>
      </c>
      <c r="AA16">
        <v>3</v>
      </c>
      <c r="AB16">
        <v>0</v>
      </c>
      <c r="AC16">
        <v>3</v>
      </c>
      <c r="AD16">
        <v>349</v>
      </c>
      <c r="AE16">
        <v>98.8</v>
      </c>
      <c r="AF16">
        <v>1.2</v>
      </c>
      <c r="AG16" s="1">
        <v>137854</v>
      </c>
      <c r="AH16">
        <v>395</v>
      </c>
      <c r="AI16">
        <v>24.94</v>
      </c>
      <c r="AJ16" s="1">
        <v>5527</v>
      </c>
      <c r="AK16">
        <v>15.84</v>
      </c>
      <c r="AL16" s="1">
        <v>604</v>
      </c>
      <c r="AM16">
        <v>75.3</v>
      </c>
      <c r="AN16" s="1">
        <v>7334</v>
      </c>
      <c r="AO16">
        <v>262</v>
      </c>
      <c r="AP16">
        <v>343</v>
      </c>
      <c r="AQ16" s="1">
        <v>4280</v>
      </c>
      <c r="AR16">
        <v>0</v>
      </c>
      <c r="AS16" s="1">
        <v>1687</v>
      </c>
      <c r="AT16" s="1">
        <v>182</v>
      </c>
    </row>
    <row r="17" spans="1:46" x14ac:dyDescent="0.25">
      <c r="A17" s="3" t="s">
        <v>103</v>
      </c>
      <c r="B17" t="s">
        <v>322</v>
      </c>
      <c r="C17" s="2">
        <v>44764</v>
      </c>
      <c r="D17">
        <v>147</v>
      </c>
      <c r="E17">
        <v>98.6</v>
      </c>
      <c r="F17">
        <v>1.4</v>
      </c>
      <c r="G17" s="1">
        <v>53020</v>
      </c>
      <c r="H17">
        <v>360.68</v>
      </c>
      <c r="I17">
        <v>33.03</v>
      </c>
      <c r="J17" s="1">
        <v>1605</v>
      </c>
      <c r="K17">
        <v>10.92</v>
      </c>
      <c r="L17" s="1"/>
      <c r="M17">
        <v>65</v>
      </c>
      <c r="N17" s="1">
        <v>2468</v>
      </c>
      <c r="O17">
        <v>88</v>
      </c>
      <c r="P17">
        <v>164</v>
      </c>
      <c r="Q17">
        <v>3</v>
      </c>
      <c r="R17">
        <v>100</v>
      </c>
      <c r="S17">
        <v>0</v>
      </c>
      <c r="T17" s="1">
        <v>1224</v>
      </c>
      <c r="U17" s="31">
        <v>408</v>
      </c>
      <c r="V17">
        <v>61.08</v>
      </c>
      <c r="W17">
        <v>20</v>
      </c>
      <c r="X17">
        <v>6.68</v>
      </c>
      <c r="Y17" s="1">
        <v>0</v>
      </c>
      <c r="Z17">
        <v>4</v>
      </c>
      <c r="AA17">
        <v>1</v>
      </c>
      <c r="AB17">
        <v>0</v>
      </c>
      <c r="AC17">
        <v>2</v>
      </c>
      <c r="AD17">
        <v>150</v>
      </c>
      <c r="AE17">
        <v>98.6</v>
      </c>
      <c r="AF17">
        <v>1.4</v>
      </c>
      <c r="AG17" s="1">
        <v>54244</v>
      </c>
      <c r="AH17">
        <v>361.63</v>
      </c>
      <c r="AI17">
        <v>33.380000000000003</v>
      </c>
      <c r="AJ17" s="1">
        <v>1625</v>
      </c>
      <c r="AK17">
        <v>10.84</v>
      </c>
      <c r="AL17" s="1">
        <v>708</v>
      </c>
      <c r="AM17">
        <v>65.8</v>
      </c>
      <c r="AN17" s="1">
        <v>2469</v>
      </c>
      <c r="AO17">
        <v>88</v>
      </c>
      <c r="AP17">
        <v>166</v>
      </c>
      <c r="AQ17" s="1">
        <v>5259</v>
      </c>
      <c r="AR17">
        <v>0</v>
      </c>
      <c r="AS17" s="1">
        <v>456</v>
      </c>
      <c r="AT17">
        <v>61</v>
      </c>
    </row>
    <row r="18" spans="1:46" x14ac:dyDescent="0.25">
      <c r="A18" s="3" t="s">
        <v>50</v>
      </c>
      <c r="B18" t="s">
        <v>323</v>
      </c>
      <c r="C18" s="2">
        <v>44764</v>
      </c>
      <c r="D18">
        <v>496</v>
      </c>
      <c r="E18">
        <v>97.7</v>
      </c>
      <c r="F18">
        <v>2.2999999999999998</v>
      </c>
      <c r="G18" s="1">
        <v>123900</v>
      </c>
      <c r="H18">
        <v>249.8</v>
      </c>
      <c r="I18">
        <v>37.08</v>
      </c>
      <c r="J18" s="1">
        <v>3341</v>
      </c>
      <c r="K18">
        <v>6.74</v>
      </c>
      <c r="L18" s="1"/>
      <c r="M18">
        <v>44.4</v>
      </c>
      <c r="N18" s="1">
        <v>7526</v>
      </c>
      <c r="O18">
        <v>269</v>
      </c>
      <c r="P18">
        <v>528</v>
      </c>
      <c r="Q18">
        <v>34</v>
      </c>
      <c r="R18">
        <v>44.1</v>
      </c>
      <c r="S18">
        <v>55.9</v>
      </c>
      <c r="T18" s="1">
        <v>1497</v>
      </c>
      <c r="U18">
        <v>44.03</v>
      </c>
      <c r="V18">
        <v>47.39</v>
      </c>
      <c r="W18">
        <v>31</v>
      </c>
      <c r="X18">
        <v>0.93</v>
      </c>
      <c r="Y18" s="1">
        <v>568</v>
      </c>
      <c r="Z18">
        <v>32.9</v>
      </c>
      <c r="AA18">
        <v>96</v>
      </c>
      <c r="AB18">
        <v>3</v>
      </c>
      <c r="AC18">
        <v>32</v>
      </c>
      <c r="AD18">
        <v>530</v>
      </c>
      <c r="AE18">
        <v>94.3</v>
      </c>
      <c r="AF18">
        <v>5.7</v>
      </c>
      <c r="AG18" s="1">
        <v>125397</v>
      </c>
      <c r="AH18">
        <v>236.6</v>
      </c>
      <c r="AI18">
        <v>37.18</v>
      </c>
      <c r="AJ18" s="1">
        <v>3372</v>
      </c>
      <c r="AK18">
        <v>6.36</v>
      </c>
      <c r="AL18" s="1">
        <v>529</v>
      </c>
      <c r="AM18">
        <v>44.2</v>
      </c>
      <c r="AN18" s="1">
        <v>7622</v>
      </c>
      <c r="AO18">
        <v>272</v>
      </c>
      <c r="AP18">
        <v>560</v>
      </c>
      <c r="AQ18" s="1">
        <v>3251</v>
      </c>
      <c r="AR18">
        <v>2</v>
      </c>
      <c r="AS18" s="1">
        <v>1096</v>
      </c>
      <c r="AT18" s="1">
        <v>1850</v>
      </c>
    </row>
    <row r="19" spans="1:46" x14ac:dyDescent="0.25">
      <c r="A19" s="3" t="s">
        <v>52</v>
      </c>
      <c r="B19" s="9" t="s">
        <v>324</v>
      </c>
      <c r="C19" s="2">
        <v>44764</v>
      </c>
      <c r="D19">
        <v>88</v>
      </c>
      <c r="E19">
        <v>93.1</v>
      </c>
      <c r="F19">
        <v>6.9</v>
      </c>
      <c r="G19" s="1">
        <v>15732</v>
      </c>
      <c r="H19">
        <v>178.77</v>
      </c>
      <c r="I19">
        <v>65.92</v>
      </c>
      <c r="J19" s="1">
        <v>238</v>
      </c>
      <c r="K19">
        <v>2.71</v>
      </c>
      <c r="L19" s="1"/>
      <c r="M19">
        <v>32.9</v>
      </c>
      <c r="N19" s="1">
        <v>726</v>
      </c>
      <c r="O19">
        <v>26</v>
      </c>
      <c r="P19">
        <v>96</v>
      </c>
      <c r="Q19">
        <v>6</v>
      </c>
      <c r="R19">
        <v>16.600000000000001</v>
      </c>
      <c r="S19">
        <v>83.4</v>
      </c>
      <c r="T19" s="1">
        <v>997</v>
      </c>
      <c r="U19">
        <v>166.17</v>
      </c>
      <c r="V19">
        <v>59.13</v>
      </c>
      <c r="W19">
        <v>16</v>
      </c>
      <c r="X19">
        <v>2.81</v>
      </c>
      <c r="Y19" s="1">
        <v>574</v>
      </c>
      <c r="Z19">
        <v>34.4</v>
      </c>
      <c r="AA19">
        <v>49</v>
      </c>
      <c r="AB19">
        <v>2</v>
      </c>
      <c r="AC19">
        <v>9</v>
      </c>
      <c r="AD19">
        <v>94</v>
      </c>
      <c r="AE19">
        <v>88.2</v>
      </c>
      <c r="AF19">
        <v>11.8</v>
      </c>
      <c r="AG19" s="1">
        <v>16729</v>
      </c>
      <c r="AH19">
        <v>177.97</v>
      </c>
      <c r="AI19">
        <v>65.47</v>
      </c>
      <c r="AJ19" s="1">
        <v>255</v>
      </c>
      <c r="AK19">
        <v>2.72</v>
      </c>
      <c r="AL19" s="1">
        <v>686</v>
      </c>
      <c r="AM19">
        <v>32.9</v>
      </c>
      <c r="AN19" s="1">
        <v>775</v>
      </c>
      <c r="AO19">
        <v>28</v>
      </c>
      <c r="AP19">
        <v>105</v>
      </c>
      <c r="AQ19">
        <v>968</v>
      </c>
      <c r="AR19">
        <v>0</v>
      </c>
      <c r="AS19">
        <v>55</v>
      </c>
      <c r="AT19" s="1">
        <v>595</v>
      </c>
    </row>
    <row r="20" spans="1:46" x14ac:dyDescent="0.25">
      <c r="A20" s="3" t="s">
        <v>217</v>
      </c>
      <c r="B20" t="s">
        <v>133</v>
      </c>
      <c r="C20" s="2">
        <v>44764</v>
      </c>
      <c r="D20">
        <v>0</v>
      </c>
      <c r="E20">
        <v>0</v>
      </c>
      <c r="F20">
        <v>0</v>
      </c>
      <c r="G20" s="1">
        <v>0</v>
      </c>
      <c r="H20">
        <v>0</v>
      </c>
      <c r="I20">
        <v>0</v>
      </c>
      <c r="J20" s="1">
        <v>0</v>
      </c>
      <c r="K20">
        <v>0</v>
      </c>
      <c r="L20">
        <v>0</v>
      </c>
      <c r="M20">
        <v>0</v>
      </c>
      <c r="N20" s="1">
        <v>0</v>
      </c>
      <c r="O20">
        <v>0</v>
      </c>
      <c r="P20">
        <v>0</v>
      </c>
      <c r="Q20">
        <v>0</v>
      </c>
      <c r="R20">
        <v>0</v>
      </c>
      <c r="S20">
        <v>0</v>
      </c>
      <c r="T20" s="1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 s="1">
        <v>0</v>
      </c>
      <c r="AH20">
        <v>0</v>
      </c>
      <c r="AI20">
        <v>0</v>
      </c>
      <c r="AJ20" s="1">
        <v>0</v>
      </c>
      <c r="AK20">
        <v>0</v>
      </c>
      <c r="AL20">
        <v>0</v>
      </c>
      <c r="AM20">
        <v>0</v>
      </c>
      <c r="AN20" s="1">
        <v>0</v>
      </c>
      <c r="AO20">
        <v>0</v>
      </c>
      <c r="AP20">
        <v>0</v>
      </c>
      <c r="AQ20">
        <v>0</v>
      </c>
      <c r="AR20">
        <v>0</v>
      </c>
      <c r="AS20" s="1">
        <v>0</v>
      </c>
      <c r="AT20" s="1">
        <v>0</v>
      </c>
    </row>
    <row r="21" spans="1:46" x14ac:dyDescent="0.25">
      <c r="A21" s="3" t="s">
        <v>123</v>
      </c>
      <c r="B21" t="s">
        <v>124</v>
      </c>
      <c r="C21" s="2">
        <v>44764</v>
      </c>
      <c r="D21">
        <v>0</v>
      </c>
      <c r="E21">
        <v>0</v>
      </c>
      <c r="F21">
        <v>0</v>
      </c>
      <c r="G21" s="1">
        <v>0</v>
      </c>
      <c r="H21">
        <v>0</v>
      </c>
      <c r="I21">
        <v>0</v>
      </c>
      <c r="J21">
        <v>0</v>
      </c>
      <c r="K21">
        <v>0</v>
      </c>
      <c r="L21" s="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 s="1">
        <v>0</v>
      </c>
      <c r="AH21">
        <v>0</v>
      </c>
      <c r="AI21">
        <v>0</v>
      </c>
      <c r="AJ21">
        <v>0</v>
      </c>
      <c r="AK21">
        <v>0</v>
      </c>
      <c r="AL21" s="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</row>
    <row r="22" spans="1:46" x14ac:dyDescent="0.25">
      <c r="A22" s="3" t="s">
        <v>78</v>
      </c>
      <c r="B22" t="s">
        <v>79</v>
      </c>
      <c r="C22" s="2">
        <v>44764</v>
      </c>
      <c r="D22">
        <v>164</v>
      </c>
      <c r="E22">
        <v>96.3</v>
      </c>
      <c r="F22">
        <v>3.7</v>
      </c>
      <c r="G22" s="1">
        <v>53282</v>
      </c>
      <c r="H22">
        <v>324.89</v>
      </c>
      <c r="I22">
        <v>32.369999999999997</v>
      </c>
      <c r="J22" s="1">
        <v>1646</v>
      </c>
      <c r="K22">
        <v>10.039999999999999</v>
      </c>
      <c r="L22" s="1"/>
      <c r="M22">
        <v>78.400000000000006</v>
      </c>
      <c r="N22" s="1">
        <v>2101</v>
      </c>
      <c r="O22">
        <v>75</v>
      </c>
      <c r="P22">
        <v>155</v>
      </c>
      <c r="Q22">
        <v>36</v>
      </c>
      <c r="R22">
        <v>50</v>
      </c>
      <c r="S22">
        <v>50</v>
      </c>
      <c r="T22" s="1">
        <v>5860</v>
      </c>
      <c r="U22">
        <v>162.78</v>
      </c>
      <c r="V22">
        <v>62.94</v>
      </c>
      <c r="W22">
        <v>93</v>
      </c>
      <c r="X22">
        <v>2.59</v>
      </c>
      <c r="Y22" s="1">
        <v>1345</v>
      </c>
      <c r="Z22">
        <v>68.5</v>
      </c>
      <c r="AA22">
        <v>136</v>
      </c>
      <c r="AB22">
        <v>5</v>
      </c>
      <c r="AC22">
        <v>30</v>
      </c>
      <c r="AD22">
        <v>200</v>
      </c>
      <c r="AE22">
        <v>88</v>
      </c>
      <c r="AF22">
        <v>12</v>
      </c>
      <c r="AG22" s="1">
        <v>59142</v>
      </c>
      <c r="AH22">
        <v>295.70999999999998</v>
      </c>
      <c r="AI22">
        <v>34</v>
      </c>
      <c r="AJ22" s="1">
        <v>1739</v>
      </c>
      <c r="AK22">
        <v>8.6999999999999993</v>
      </c>
      <c r="AL22" s="1">
        <v>849</v>
      </c>
      <c r="AM22">
        <v>77.7</v>
      </c>
      <c r="AN22" s="1">
        <v>2237</v>
      </c>
      <c r="AO22">
        <v>80</v>
      </c>
      <c r="AP22">
        <v>185</v>
      </c>
      <c r="AQ22" s="1">
        <v>2004</v>
      </c>
      <c r="AR22">
        <v>36</v>
      </c>
      <c r="AS22" s="1">
        <v>891</v>
      </c>
      <c r="AT22" s="1">
        <v>1769</v>
      </c>
    </row>
    <row r="23" spans="1:46" x14ac:dyDescent="0.25">
      <c r="A23" s="3" t="s">
        <v>80</v>
      </c>
      <c r="B23" t="s">
        <v>81</v>
      </c>
      <c r="C23" s="2">
        <v>44764</v>
      </c>
      <c r="D23">
        <v>32</v>
      </c>
      <c r="E23">
        <v>90.6</v>
      </c>
      <c r="F23">
        <v>9.4</v>
      </c>
      <c r="G23" s="1">
        <v>6216</v>
      </c>
      <c r="H23">
        <v>194.25</v>
      </c>
      <c r="I23">
        <v>48.13</v>
      </c>
      <c r="J23">
        <v>129</v>
      </c>
      <c r="K23">
        <v>4.04</v>
      </c>
      <c r="L23" s="1"/>
      <c r="M23">
        <v>46.8</v>
      </c>
      <c r="N23" s="1">
        <v>276</v>
      </c>
      <c r="O23">
        <v>10</v>
      </c>
      <c r="P23">
        <v>32</v>
      </c>
      <c r="Q23">
        <v>2</v>
      </c>
      <c r="R23">
        <v>50</v>
      </c>
      <c r="S23">
        <v>50</v>
      </c>
      <c r="T23" s="1">
        <v>199</v>
      </c>
      <c r="U23">
        <v>99.5</v>
      </c>
      <c r="V23">
        <v>95.67</v>
      </c>
      <c r="W23">
        <v>2</v>
      </c>
      <c r="X23">
        <v>1.04</v>
      </c>
      <c r="Y23" s="1">
        <v>0</v>
      </c>
      <c r="Z23">
        <v>16</v>
      </c>
      <c r="AA23">
        <v>13</v>
      </c>
      <c r="AB23">
        <v>0</v>
      </c>
      <c r="AC23">
        <v>2</v>
      </c>
      <c r="AD23">
        <v>34</v>
      </c>
      <c r="AE23">
        <v>88.2</v>
      </c>
      <c r="AF23">
        <v>11.8</v>
      </c>
      <c r="AG23" s="1">
        <v>6415</v>
      </c>
      <c r="AH23">
        <v>188.68</v>
      </c>
      <c r="AI23">
        <v>48.88</v>
      </c>
      <c r="AJ23">
        <v>131</v>
      </c>
      <c r="AK23">
        <v>3.86</v>
      </c>
      <c r="AL23" s="1">
        <v>738</v>
      </c>
      <c r="AM23">
        <v>45.4</v>
      </c>
      <c r="AN23" s="1">
        <v>289</v>
      </c>
      <c r="AO23">
        <v>10</v>
      </c>
      <c r="AP23">
        <v>34</v>
      </c>
      <c r="AQ23">
        <v>325</v>
      </c>
      <c r="AR23">
        <v>0</v>
      </c>
      <c r="AS23">
        <v>35</v>
      </c>
      <c r="AT23">
        <v>308</v>
      </c>
    </row>
    <row r="24" spans="1:46" x14ac:dyDescent="0.25">
      <c r="A24" s="3" t="s">
        <v>109</v>
      </c>
      <c r="B24" t="s">
        <v>325</v>
      </c>
      <c r="C24" s="2">
        <v>44764</v>
      </c>
      <c r="D24">
        <v>25</v>
      </c>
      <c r="E24">
        <v>88</v>
      </c>
      <c r="F24">
        <v>12</v>
      </c>
      <c r="G24" s="1">
        <v>11363</v>
      </c>
      <c r="H24">
        <v>454.52</v>
      </c>
      <c r="I24">
        <v>44.97</v>
      </c>
      <c r="J24">
        <v>252</v>
      </c>
      <c r="K24">
        <v>10.11</v>
      </c>
      <c r="L24" s="1"/>
      <c r="M24">
        <v>70</v>
      </c>
      <c r="N24" s="1">
        <v>361</v>
      </c>
      <c r="O24">
        <v>13</v>
      </c>
      <c r="P24">
        <v>16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 s="1">
        <v>0</v>
      </c>
      <c r="Z24">
        <v>0</v>
      </c>
      <c r="AA24">
        <v>28</v>
      </c>
      <c r="AB24">
        <v>1</v>
      </c>
      <c r="AC24">
        <v>0</v>
      </c>
      <c r="AD24">
        <v>25</v>
      </c>
      <c r="AE24">
        <v>88</v>
      </c>
      <c r="AF24">
        <v>12</v>
      </c>
      <c r="AG24" s="1">
        <v>11363</v>
      </c>
      <c r="AH24">
        <v>454.52</v>
      </c>
      <c r="AI24">
        <v>44.97</v>
      </c>
      <c r="AJ24">
        <v>252</v>
      </c>
      <c r="AK24">
        <v>10.11</v>
      </c>
      <c r="AL24" s="1">
        <v>932</v>
      </c>
      <c r="AM24">
        <v>64.900000000000006</v>
      </c>
      <c r="AN24" s="1">
        <v>389</v>
      </c>
      <c r="AO24">
        <v>14</v>
      </c>
      <c r="AP24">
        <v>16</v>
      </c>
      <c r="AQ24">
        <v>161</v>
      </c>
      <c r="AR24">
        <v>60</v>
      </c>
      <c r="AS24">
        <v>138</v>
      </c>
      <c r="AT24" s="1">
        <v>287</v>
      </c>
    </row>
    <row r="25" spans="1:46" x14ac:dyDescent="0.25">
      <c r="A25" s="3" t="s">
        <v>74</v>
      </c>
      <c r="B25" t="s">
        <v>75</v>
      </c>
      <c r="C25" s="2">
        <v>44764</v>
      </c>
      <c r="D25">
        <v>29</v>
      </c>
      <c r="E25">
        <v>93.1</v>
      </c>
      <c r="F25">
        <v>6.9</v>
      </c>
      <c r="G25" s="1">
        <v>4808</v>
      </c>
      <c r="H25">
        <v>165.79</v>
      </c>
      <c r="I25">
        <v>40.880000000000003</v>
      </c>
      <c r="J25">
        <v>117</v>
      </c>
      <c r="K25">
        <v>4.0599999999999996</v>
      </c>
      <c r="L25" s="1"/>
      <c r="M25">
        <v>26.5</v>
      </c>
      <c r="N25" s="1">
        <v>443</v>
      </c>
      <c r="O25">
        <v>16</v>
      </c>
      <c r="P25">
        <v>35</v>
      </c>
      <c r="Q25">
        <v>3</v>
      </c>
      <c r="R25">
        <v>33.299999999999997</v>
      </c>
      <c r="S25">
        <v>66.7</v>
      </c>
      <c r="T25">
        <v>467</v>
      </c>
      <c r="U25">
        <v>155.66999999999999</v>
      </c>
      <c r="V25">
        <v>80.239999999999995</v>
      </c>
      <c r="W25">
        <v>5</v>
      </c>
      <c r="X25">
        <v>1.94</v>
      </c>
      <c r="Y25" s="1">
        <v>264</v>
      </c>
      <c r="Z25">
        <v>13.5</v>
      </c>
      <c r="AA25">
        <v>43</v>
      </c>
      <c r="AB25">
        <v>2</v>
      </c>
      <c r="AC25">
        <v>1</v>
      </c>
      <c r="AD25">
        <v>32</v>
      </c>
      <c r="AE25">
        <v>87.5</v>
      </c>
      <c r="AF25">
        <v>12.5</v>
      </c>
      <c r="AG25" s="1">
        <v>5275</v>
      </c>
      <c r="AH25">
        <v>164.84</v>
      </c>
      <c r="AI25">
        <v>42.74</v>
      </c>
      <c r="AJ25">
        <v>123</v>
      </c>
      <c r="AK25">
        <v>3.86</v>
      </c>
      <c r="AL25" s="1">
        <v>356</v>
      </c>
      <c r="AM25">
        <v>25.3</v>
      </c>
      <c r="AN25" s="1">
        <v>486</v>
      </c>
      <c r="AO25">
        <v>17</v>
      </c>
      <c r="AP25">
        <v>36</v>
      </c>
      <c r="AQ25">
        <v>193</v>
      </c>
      <c r="AR25">
        <v>0</v>
      </c>
      <c r="AS25">
        <v>120</v>
      </c>
      <c r="AT25">
        <v>165</v>
      </c>
    </row>
    <row r="26" spans="1:46" x14ac:dyDescent="0.25">
      <c r="A26" s="3" t="s">
        <v>76</v>
      </c>
      <c r="B26" t="s">
        <v>77</v>
      </c>
      <c r="C26" s="2">
        <v>44764</v>
      </c>
      <c r="D26">
        <v>77</v>
      </c>
      <c r="E26">
        <v>90.9</v>
      </c>
      <c r="F26">
        <v>9.1</v>
      </c>
      <c r="G26" s="1">
        <v>15802</v>
      </c>
      <c r="H26">
        <v>205.22</v>
      </c>
      <c r="I26">
        <v>26.29</v>
      </c>
      <c r="J26">
        <v>601</v>
      </c>
      <c r="K26">
        <v>7.81</v>
      </c>
      <c r="L26" s="1"/>
      <c r="M26">
        <v>46.5</v>
      </c>
      <c r="N26" s="1">
        <v>1292</v>
      </c>
      <c r="O26">
        <v>46</v>
      </c>
      <c r="P26">
        <v>87</v>
      </c>
      <c r="Q26">
        <v>7</v>
      </c>
      <c r="R26">
        <v>0</v>
      </c>
      <c r="S26">
        <v>100</v>
      </c>
      <c r="T26" s="1">
        <v>563</v>
      </c>
      <c r="U26">
        <v>80.430000000000007</v>
      </c>
      <c r="V26">
        <v>49.3</v>
      </c>
      <c r="W26">
        <v>11</v>
      </c>
      <c r="X26">
        <v>1.63</v>
      </c>
      <c r="Y26" s="1">
        <v>651</v>
      </c>
      <c r="Z26">
        <v>28.6</v>
      </c>
      <c r="AA26">
        <v>40</v>
      </c>
      <c r="AB26">
        <v>1</v>
      </c>
      <c r="AC26">
        <v>9</v>
      </c>
      <c r="AD26">
        <v>84</v>
      </c>
      <c r="AE26">
        <v>83.3</v>
      </c>
      <c r="AF26">
        <v>16.7</v>
      </c>
      <c r="AG26" s="1">
        <v>16365</v>
      </c>
      <c r="AH26">
        <v>194.82</v>
      </c>
      <c r="AI26">
        <v>26.72</v>
      </c>
      <c r="AJ26">
        <v>612</v>
      </c>
      <c r="AK26">
        <v>7.29</v>
      </c>
      <c r="AL26" s="1">
        <v>391</v>
      </c>
      <c r="AM26">
        <v>45.9</v>
      </c>
      <c r="AN26" s="1">
        <v>1332</v>
      </c>
      <c r="AO26">
        <v>48</v>
      </c>
      <c r="AP26">
        <v>96</v>
      </c>
      <c r="AQ26">
        <v>18</v>
      </c>
      <c r="AR26">
        <v>0</v>
      </c>
      <c r="AS26" s="1">
        <v>875</v>
      </c>
      <c r="AT26" s="1">
        <v>892</v>
      </c>
    </row>
    <row r="27" spans="1:46" x14ac:dyDescent="0.25">
      <c r="A27" s="3" t="s">
        <v>101</v>
      </c>
      <c r="B27" t="s">
        <v>326</v>
      </c>
      <c r="C27" s="2">
        <v>44764</v>
      </c>
      <c r="D27">
        <v>224</v>
      </c>
      <c r="E27">
        <v>98.2</v>
      </c>
      <c r="F27">
        <v>1.8</v>
      </c>
      <c r="G27" s="1">
        <v>61741</v>
      </c>
      <c r="H27">
        <v>275.63</v>
      </c>
      <c r="I27">
        <v>32.43</v>
      </c>
      <c r="J27" s="1">
        <v>1904</v>
      </c>
      <c r="K27">
        <v>8.5</v>
      </c>
      <c r="L27" s="1"/>
      <c r="M27">
        <v>60.7</v>
      </c>
      <c r="N27" s="1">
        <v>3138</v>
      </c>
      <c r="O27">
        <v>112</v>
      </c>
      <c r="P27">
        <v>216</v>
      </c>
      <c r="Q27">
        <v>20</v>
      </c>
      <c r="R27">
        <v>55</v>
      </c>
      <c r="S27">
        <v>45</v>
      </c>
      <c r="T27" s="1">
        <v>1306</v>
      </c>
      <c r="U27">
        <v>65.3</v>
      </c>
      <c r="V27">
        <v>56.15</v>
      </c>
      <c r="W27">
        <v>23</v>
      </c>
      <c r="X27">
        <v>1.1599999999999999</v>
      </c>
      <c r="Y27" s="1">
        <v>496</v>
      </c>
      <c r="Z27">
        <v>26.7</v>
      </c>
      <c r="AA27">
        <v>87</v>
      </c>
      <c r="AB27">
        <v>3</v>
      </c>
      <c r="AC27">
        <v>17</v>
      </c>
      <c r="AD27">
        <v>244</v>
      </c>
      <c r="AE27">
        <v>94.6</v>
      </c>
      <c r="AF27">
        <v>5.4</v>
      </c>
      <c r="AG27" s="1">
        <v>63047</v>
      </c>
      <c r="AH27">
        <v>258.39</v>
      </c>
      <c r="AI27">
        <v>32.71</v>
      </c>
      <c r="AJ27" s="1">
        <v>1927</v>
      </c>
      <c r="AK27">
        <v>7.9</v>
      </c>
      <c r="AL27" s="1">
        <v>629</v>
      </c>
      <c r="AM27">
        <v>59.7</v>
      </c>
      <c r="AN27" s="1">
        <v>3225</v>
      </c>
      <c r="AO27">
        <v>115</v>
      </c>
      <c r="AP27">
        <v>233</v>
      </c>
      <c r="AQ27" s="1">
        <v>2673</v>
      </c>
      <c r="AR27">
        <v>0</v>
      </c>
      <c r="AS27" s="1">
        <v>675</v>
      </c>
      <c r="AT27" s="1">
        <v>709</v>
      </c>
    </row>
    <row r="28" spans="1:46" x14ac:dyDescent="0.25">
      <c r="A28" s="3" t="s">
        <v>54</v>
      </c>
      <c r="B28" t="s">
        <v>327</v>
      </c>
      <c r="C28" s="2">
        <v>44764</v>
      </c>
      <c r="D28">
        <v>64</v>
      </c>
      <c r="E28">
        <v>100</v>
      </c>
      <c r="F28">
        <v>0</v>
      </c>
      <c r="G28" s="1">
        <v>20610</v>
      </c>
      <c r="H28">
        <v>322.02999999999997</v>
      </c>
      <c r="I28">
        <v>31.17</v>
      </c>
      <c r="J28" s="1">
        <v>661</v>
      </c>
      <c r="K28">
        <v>10.33</v>
      </c>
      <c r="L28" s="1"/>
      <c r="M28">
        <v>68</v>
      </c>
      <c r="N28" s="1">
        <v>972</v>
      </c>
      <c r="O28">
        <v>35</v>
      </c>
      <c r="P28">
        <v>55</v>
      </c>
      <c r="Q28">
        <v>8</v>
      </c>
      <c r="R28">
        <v>50</v>
      </c>
      <c r="S28">
        <v>50</v>
      </c>
      <c r="T28" s="1">
        <v>621</v>
      </c>
      <c r="U28">
        <v>77.63</v>
      </c>
      <c r="V28">
        <v>32.51</v>
      </c>
      <c r="W28">
        <v>19</v>
      </c>
      <c r="X28">
        <v>2.39</v>
      </c>
      <c r="Y28" s="1">
        <v>713</v>
      </c>
      <c r="Z28">
        <v>54.6</v>
      </c>
      <c r="AA28">
        <v>35</v>
      </c>
      <c r="AB28">
        <v>1</v>
      </c>
      <c r="AC28">
        <v>7</v>
      </c>
      <c r="AD28">
        <v>72</v>
      </c>
      <c r="AE28">
        <v>94.4</v>
      </c>
      <c r="AF28">
        <v>5.6</v>
      </c>
      <c r="AG28" s="1">
        <v>21231</v>
      </c>
      <c r="AH28">
        <v>294.88</v>
      </c>
      <c r="AI28">
        <v>31.21</v>
      </c>
      <c r="AJ28" s="1">
        <v>680</v>
      </c>
      <c r="AK28">
        <v>9.4499999999999993</v>
      </c>
      <c r="AL28" s="1">
        <v>677</v>
      </c>
      <c r="AM28">
        <v>67.5</v>
      </c>
      <c r="AN28" s="1">
        <v>1007</v>
      </c>
      <c r="AO28">
        <v>36</v>
      </c>
      <c r="AP28">
        <v>62</v>
      </c>
      <c r="AQ28" s="1">
        <v>0</v>
      </c>
      <c r="AR28">
        <v>0</v>
      </c>
      <c r="AS28" s="1">
        <v>850</v>
      </c>
      <c r="AT28" s="1">
        <v>250</v>
      </c>
    </row>
    <row r="29" spans="1:46" x14ac:dyDescent="0.25">
      <c r="A29" s="3" t="s">
        <v>113</v>
      </c>
      <c r="B29" t="s">
        <v>114</v>
      </c>
      <c r="C29" s="2">
        <v>44764</v>
      </c>
      <c r="D29">
        <v>56</v>
      </c>
      <c r="E29">
        <v>100</v>
      </c>
      <c r="F29">
        <v>0</v>
      </c>
      <c r="G29" s="1">
        <v>16874</v>
      </c>
      <c r="H29">
        <v>301.32</v>
      </c>
      <c r="I29">
        <v>32.020000000000003</v>
      </c>
      <c r="J29" s="1">
        <v>527</v>
      </c>
      <c r="K29">
        <v>9.41</v>
      </c>
      <c r="L29" s="1"/>
      <c r="M29">
        <v>55.9</v>
      </c>
      <c r="N29" s="1">
        <v>942</v>
      </c>
      <c r="O29">
        <v>34</v>
      </c>
      <c r="P29">
        <v>56</v>
      </c>
      <c r="Q29">
        <v>9</v>
      </c>
      <c r="R29">
        <v>33.299999999999997</v>
      </c>
      <c r="S29">
        <v>66.7</v>
      </c>
      <c r="T29" s="1">
        <v>909</v>
      </c>
      <c r="U29">
        <v>101</v>
      </c>
      <c r="V29">
        <v>64.33</v>
      </c>
      <c r="W29">
        <v>14</v>
      </c>
      <c r="X29">
        <v>1.57</v>
      </c>
      <c r="Y29" s="1">
        <v>1054</v>
      </c>
      <c r="Z29">
        <v>39.299999999999997</v>
      </c>
      <c r="AA29">
        <v>36</v>
      </c>
      <c r="AB29">
        <v>1</v>
      </c>
      <c r="AC29">
        <v>8</v>
      </c>
      <c r="AD29">
        <v>65</v>
      </c>
      <c r="AE29">
        <v>90.7</v>
      </c>
      <c r="AF29">
        <v>9.3000000000000007</v>
      </c>
      <c r="AG29" s="1">
        <v>17783</v>
      </c>
      <c r="AH29">
        <v>273.58</v>
      </c>
      <c r="AI29">
        <v>32.86</v>
      </c>
      <c r="AJ29" s="1">
        <v>541</v>
      </c>
      <c r="AK29">
        <v>8.33</v>
      </c>
      <c r="AL29" s="1">
        <v>584</v>
      </c>
      <c r="AM29">
        <v>55.3</v>
      </c>
      <c r="AN29" s="1">
        <v>978</v>
      </c>
      <c r="AO29">
        <v>35</v>
      </c>
      <c r="AP29">
        <v>64</v>
      </c>
      <c r="AQ29" s="1">
        <v>309</v>
      </c>
      <c r="AR29">
        <v>0</v>
      </c>
      <c r="AS29">
        <v>258</v>
      </c>
      <c r="AT29" s="1">
        <v>490</v>
      </c>
    </row>
    <row r="30" spans="1:46" x14ac:dyDescent="0.25">
      <c r="A30" s="3" t="s">
        <v>115</v>
      </c>
      <c r="B30" t="s">
        <v>116</v>
      </c>
      <c r="C30" s="2">
        <v>44764</v>
      </c>
      <c r="D30">
        <v>20</v>
      </c>
      <c r="E30">
        <v>100</v>
      </c>
      <c r="F30">
        <v>0</v>
      </c>
      <c r="G30" s="1">
        <v>5098</v>
      </c>
      <c r="H30">
        <v>254.9</v>
      </c>
      <c r="I30">
        <v>33.29</v>
      </c>
      <c r="J30">
        <v>153</v>
      </c>
      <c r="K30">
        <v>7.66</v>
      </c>
      <c r="L30" s="1"/>
      <c r="M30">
        <v>78.5</v>
      </c>
      <c r="N30" s="1">
        <v>195</v>
      </c>
      <c r="O30">
        <v>7</v>
      </c>
      <c r="P30">
        <v>19</v>
      </c>
      <c r="Q30">
        <v>8</v>
      </c>
      <c r="R30">
        <v>25</v>
      </c>
      <c r="S30">
        <v>75</v>
      </c>
      <c r="T30" s="1">
        <v>900</v>
      </c>
      <c r="U30">
        <v>112.5</v>
      </c>
      <c r="V30">
        <v>59.41</v>
      </c>
      <c r="W30">
        <v>15</v>
      </c>
      <c r="X30">
        <v>1.89</v>
      </c>
      <c r="Y30" s="1">
        <v>1023</v>
      </c>
      <c r="Z30">
        <v>84.2</v>
      </c>
      <c r="AA30">
        <v>18</v>
      </c>
      <c r="AB30">
        <v>1</v>
      </c>
      <c r="AC30">
        <v>5</v>
      </c>
      <c r="AD30">
        <v>28</v>
      </c>
      <c r="AE30">
        <v>78.5</v>
      </c>
      <c r="AF30">
        <v>21.5</v>
      </c>
      <c r="AG30" s="1">
        <v>5998</v>
      </c>
      <c r="AH30">
        <v>214.21</v>
      </c>
      <c r="AI30">
        <v>35.64</v>
      </c>
      <c r="AJ30">
        <v>168</v>
      </c>
      <c r="AK30">
        <v>6.01</v>
      </c>
      <c r="AL30" s="1">
        <v>860</v>
      </c>
      <c r="AM30">
        <v>79</v>
      </c>
      <c r="AN30" s="1">
        <v>213</v>
      </c>
      <c r="AO30">
        <v>8</v>
      </c>
      <c r="AP30">
        <v>24</v>
      </c>
      <c r="AQ30">
        <v>146</v>
      </c>
      <c r="AR30">
        <v>0</v>
      </c>
      <c r="AS30">
        <v>10</v>
      </c>
      <c r="AT30">
        <v>367</v>
      </c>
    </row>
    <row r="31" spans="1:46" x14ac:dyDescent="0.25">
      <c r="A31" s="3" t="s">
        <v>121</v>
      </c>
      <c r="B31" t="s">
        <v>122</v>
      </c>
      <c r="C31" s="2">
        <v>44764</v>
      </c>
      <c r="D31">
        <v>0</v>
      </c>
      <c r="E31">
        <v>0</v>
      </c>
      <c r="F31">
        <v>0</v>
      </c>
      <c r="G31" s="1">
        <v>0</v>
      </c>
      <c r="H31">
        <v>0</v>
      </c>
      <c r="I31">
        <v>0</v>
      </c>
      <c r="J31">
        <v>0</v>
      </c>
      <c r="K31">
        <v>0</v>
      </c>
      <c r="L31" s="1">
        <v>0</v>
      </c>
      <c r="M31">
        <v>0</v>
      </c>
      <c r="N31" s="1">
        <v>0</v>
      </c>
      <c r="O31">
        <v>0</v>
      </c>
      <c r="P31">
        <v>0</v>
      </c>
      <c r="Q31">
        <v>0</v>
      </c>
      <c r="R31">
        <v>0</v>
      </c>
      <c r="S31">
        <v>0</v>
      </c>
      <c r="T31" s="1">
        <v>0</v>
      </c>
      <c r="U31">
        <v>0</v>
      </c>
      <c r="V31">
        <v>0</v>
      </c>
      <c r="W31">
        <v>0</v>
      </c>
      <c r="X31">
        <v>0</v>
      </c>
      <c r="Y31" s="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 s="1">
        <v>0</v>
      </c>
      <c r="AH31">
        <v>0</v>
      </c>
      <c r="AI31">
        <v>0</v>
      </c>
      <c r="AJ31">
        <v>0</v>
      </c>
      <c r="AK31">
        <v>0</v>
      </c>
      <c r="AL31" s="1">
        <v>0</v>
      </c>
      <c r="AM31">
        <v>0</v>
      </c>
      <c r="AN31" s="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 s="1">
        <v>0</v>
      </c>
    </row>
    <row r="32" spans="1:46" x14ac:dyDescent="0.25">
      <c r="A32" s="3" t="s">
        <v>117</v>
      </c>
      <c r="B32" t="s">
        <v>118</v>
      </c>
      <c r="C32" s="2">
        <v>44764</v>
      </c>
      <c r="D32">
        <v>151</v>
      </c>
      <c r="E32">
        <v>93.3</v>
      </c>
      <c r="F32">
        <v>6.7</v>
      </c>
      <c r="G32" s="1">
        <v>45841</v>
      </c>
      <c r="H32">
        <v>303.58</v>
      </c>
      <c r="I32">
        <v>37.64</v>
      </c>
      <c r="J32" s="1">
        <v>1217</v>
      </c>
      <c r="K32">
        <v>8.07</v>
      </c>
      <c r="L32" s="1"/>
      <c r="M32">
        <v>62.8</v>
      </c>
      <c r="N32" s="1">
        <v>1939</v>
      </c>
      <c r="O32">
        <v>69</v>
      </c>
      <c r="P32">
        <v>138</v>
      </c>
      <c r="Q32">
        <v>19</v>
      </c>
      <c r="R32">
        <v>47.3</v>
      </c>
      <c r="S32">
        <v>52.7</v>
      </c>
      <c r="T32" s="1">
        <v>1391</v>
      </c>
      <c r="U32">
        <v>73.209999999999994</v>
      </c>
      <c r="V32">
        <v>43.95</v>
      </c>
      <c r="W32">
        <v>31</v>
      </c>
      <c r="X32">
        <v>1.67</v>
      </c>
      <c r="Y32" s="1">
        <v>806</v>
      </c>
      <c r="Z32">
        <v>71.900000000000006</v>
      </c>
      <c r="AA32">
        <v>44</v>
      </c>
      <c r="AB32">
        <v>2</v>
      </c>
      <c r="AC32">
        <v>16</v>
      </c>
      <c r="AD32">
        <v>170</v>
      </c>
      <c r="AE32">
        <v>88.2</v>
      </c>
      <c r="AF32">
        <v>11.8</v>
      </c>
      <c r="AG32" s="1">
        <v>47232</v>
      </c>
      <c r="AH32">
        <v>277.83999999999997</v>
      </c>
      <c r="AI32">
        <v>37.799999999999997</v>
      </c>
      <c r="AJ32" s="1">
        <v>1249</v>
      </c>
      <c r="AK32">
        <v>7.35</v>
      </c>
      <c r="AL32" s="1">
        <v>764</v>
      </c>
      <c r="AM32">
        <v>63</v>
      </c>
      <c r="AN32" s="1">
        <v>1983</v>
      </c>
      <c r="AO32">
        <v>71</v>
      </c>
      <c r="AP32">
        <v>154</v>
      </c>
      <c r="AQ32">
        <v>445</v>
      </c>
      <c r="AR32">
        <v>0</v>
      </c>
      <c r="AS32" s="1">
        <v>529</v>
      </c>
      <c r="AT32" s="1">
        <v>1385</v>
      </c>
    </row>
    <row r="33" spans="1:46" x14ac:dyDescent="0.25">
      <c r="A33" s="3" t="s">
        <v>119</v>
      </c>
      <c r="B33" t="s">
        <v>328</v>
      </c>
      <c r="C33" s="2">
        <v>44764</v>
      </c>
      <c r="D33">
        <v>9</v>
      </c>
      <c r="E33">
        <v>100</v>
      </c>
      <c r="F33">
        <v>0</v>
      </c>
      <c r="G33" s="1">
        <v>1944</v>
      </c>
      <c r="H33">
        <v>216</v>
      </c>
      <c r="I33">
        <v>46.06</v>
      </c>
      <c r="J33" s="1">
        <v>42</v>
      </c>
      <c r="K33">
        <v>4.6900000000000004</v>
      </c>
      <c r="L33" s="1"/>
      <c r="M33">
        <v>54.1</v>
      </c>
      <c r="N33" s="1">
        <v>78</v>
      </c>
      <c r="O33">
        <v>3</v>
      </c>
      <c r="P33">
        <v>11</v>
      </c>
      <c r="Q33">
        <v>1</v>
      </c>
      <c r="R33">
        <v>0</v>
      </c>
      <c r="S33">
        <v>100</v>
      </c>
      <c r="T33">
        <v>75</v>
      </c>
      <c r="U33">
        <v>75</v>
      </c>
      <c r="V33">
        <v>78.95</v>
      </c>
      <c r="W33">
        <v>0</v>
      </c>
      <c r="X33">
        <v>0.95</v>
      </c>
      <c r="Y33" s="1">
        <v>0</v>
      </c>
      <c r="Z33">
        <v>95</v>
      </c>
      <c r="AA33">
        <v>1</v>
      </c>
      <c r="AB33">
        <v>0</v>
      </c>
      <c r="AC33">
        <v>1</v>
      </c>
      <c r="AD33">
        <v>10</v>
      </c>
      <c r="AE33">
        <v>90</v>
      </c>
      <c r="AF33">
        <v>10</v>
      </c>
      <c r="AG33" s="1">
        <v>2019</v>
      </c>
      <c r="AH33">
        <v>201.9</v>
      </c>
      <c r="AI33">
        <v>46.78</v>
      </c>
      <c r="AJ33" s="1">
        <v>43</v>
      </c>
      <c r="AK33">
        <v>4.32</v>
      </c>
      <c r="AL33" s="1">
        <v>775</v>
      </c>
      <c r="AM33">
        <v>54.6</v>
      </c>
      <c r="AN33" s="1">
        <v>79</v>
      </c>
      <c r="AO33">
        <v>3</v>
      </c>
      <c r="AP33">
        <v>12</v>
      </c>
      <c r="AQ33">
        <v>198</v>
      </c>
      <c r="AR33">
        <v>0</v>
      </c>
      <c r="AS33">
        <v>15</v>
      </c>
      <c r="AT33" s="1">
        <v>30</v>
      </c>
    </row>
    <row r="34" spans="1:46" x14ac:dyDescent="0.25">
      <c r="A34" s="3" t="s">
        <v>125</v>
      </c>
      <c r="B34" t="s">
        <v>126</v>
      </c>
      <c r="C34" s="2">
        <v>44764</v>
      </c>
      <c r="D34">
        <v>26</v>
      </c>
      <c r="E34">
        <v>92.3</v>
      </c>
      <c r="F34">
        <v>7.7</v>
      </c>
      <c r="G34" s="1">
        <v>3704</v>
      </c>
      <c r="H34">
        <v>142.46</v>
      </c>
      <c r="I34">
        <v>54.48</v>
      </c>
      <c r="J34">
        <v>67</v>
      </c>
      <c r="K34">
        <v>2.62</v>
      </c>
      <c r="L34" s="1"/>
      <c r="M34">
        <v>32.700000000000003</v>
      </c>
      <c r="N34">
        <v>208</v>
      </c>
      <c r="O34">
        <v>7</v>
      </c>
      <c r="P34">
        <v>34</v>
      </c>
      <c r="Q34">
        <v>1</v>
      </c>
      <c r="R34">
        <v>0</v>
      </c>
      <c r="S34">
        <v>100</v>
      </c>
      <c r="T34" s="1">
        <v>170</v>
      </c>
      <c r="U34">
        <v>170</v>
      </c>
      <c r="V34" s="31">
        <v>136</v>
      </c>
      <c r="W34">
        <v>1</v>
      </c>
      <c r="X34">
        <v>1.25</v>
      </c>
      <c r="Y34" s="1">
        <v>0</v>
      </c>
      <c r="Z34">
        <v>62.5</v>
      </c>
      <c r="AA34">
        <v>2</v>
      </c>
      <c r="AB34">
        <v>0</v>
      </c>
      <c r="AC34">
        <v>1</v>
      </c>
      <c r="AD34">
        <v>27</v>
      </c>
      <c r="AE34">
        <v>88.8</v>
      </c>
      <c r="AF34">
        <v>11.2</v>
      </c>
      <c r="AG34" s="1">
        <v>3874</v>
      </c>
      <c r="AH34">
        <v>143.47999999999999</v>
      </c>
      <c r="AI34">
        <v>55.95</v>
      </c>
      <c r="AJ34">
        <v>69</v>
      </c>
      <c r="AK34">
        <v>2.56</v>
      </c>
      <c r="AL34" s="1">
        <v>554</v>
      </c>
      <c r="AM34">
        <v>32.9</v>
      </c>
      <c r="AN34">
        <v>210</v>
      </c>
      <c r="AO34">
        <v>8</v>
      </c>
      <c r="AP34">
        <v>35</v>
      </c>
      <c r="AQ34">
        <v>288</v>
      </c>
      <c r="AR34">
        <v>0</v>
      </c>
      <c r="AS34">
        <v>0</v>
      </c>
      <c r="AT34" s="1">
        <v>143</v>
      </c>
    </row>
    <row r="35" spans="1:46" x14ac:dyDescent="0.25">
      <c r="A35" s="3" t="s">
        <v>127</v>
      </c>
      <c r="B35" t="s">
        <v>128</v>
      </c>
      <c r="C35" s="2">
        <v>44764</v>
      </c>
      <c r="D35">
        <v>145</v>
      </c>
      <c r="E35">
        <v>95.1</v>
      </c>
      <c r="F35">
        <v>4.9000000000000004</v>
      </c>
      <c r="G35" s="1">
        <v>40823</v>
      </c>
      <c r="H35">
        <v>281.54000000000002</v>
      </c>
      <c r="I35">
        <v>34.35</v>
      </c>
      <c r="J35" s="1">
        <v>1188</v>
      </c>
      <c r="K35">
        <v>8.1999999999999993</v>
      </c>
      <c r="L35" s="1"/>
      <c r="M35">
        <v>49</v>
      </c>
      <c r="N35" s="1">
        <v>2426</v>
      </c>
      <c r="O35">
        <v>87</v>
      </c>
      <c r="P35">
        <v>139</v>
      </c>
      <c r="Q35">
        <v>14</v>
      </c>
      <c r="R35">
        <v>42.8</v>
      </c>
      <c r="S35">
        <v>57.2</v>
      </c>
      <c r="T35" s="1">
        <v>1295</v>
      </c>
      <c r="U35">
        <v>92.5</v>
      </c>
      <c r="V35">
        <v>92.04</v>
      </c>
      <c r="W35">
        <v>14</v>
      </c>
      <c r="X35">
        <v>1.01</v>
      </c>
      <c r="Y35" s="1">
        <v>744</v>
      </c>
      <c r="Z35">
        <v>22.7</v>
      </c>
      <c r="AA35">
        <v>62</v>
      </c>
      <c r="AB35">
        <v>2</v>
      </c>
      <c r="AC35">
        <v>13</v>
      </c>
      <c r="AD35">
        <v>159</v>
      </c>
      <c r="AE35">
        <v>90.5</v>
      </c>
      <c r="AF35">
        <v>9.5</v>
      </c>
      <c r="AG35" s="1">
        <v>42118</v>
      </c>
      <c r="AH35">
        <v>264.89</v>
      </c>
      <c r="AI35">
        <v>35.020000000000003</v>
      </c>
      <c r="AJ35" s="1">
        <v>1202</v>
      </c>
      <c r="AK35">
        <v>7.56</v>
      </c>
      <c r="AL35" s="1">
        <v>543</v>
      </c>
      <c r="AM35">
        <v>48.3</v>
      </c>
      <c r="AN35" s="1">
        <v>2488</v>
      </c>
      <c r="AO35">
        <v>89</v>
      </c>
      <c r="AP35">
        <v>152</v>
      </c>
      <c r="AQ35" s="1">
        <v>1247</v>
      </c>
      <c r="AR35">
        <v>0</v>
      </c>
      <c r="AS35" s="1">
        <v>427</v>
      </c>
      <c r="AT35" s="1">
        <v>1550</v>
      </c>
    </row>
    <row r="36" spans="1:46" x14ac:dyDescent="0.25">
      <c r="A36" s="3" t="s">
        <v>131</v>
      </c>
      <c r="B36" t="s">
        <v>132</v>
      </c>
      <c r="C36" s="2">
        <v>44764</v>
      </c>
      <c r="D36">
        <v>0</v>
      </c>
      <c r="E36">
        <v>0</v>
      </c>
      <c r="F36">
        <v>0</v>
      </c>
      <c r="G36" s="1">
        <v>0</v>
      </c>
      <c r="H36">
        <v>0</v>
      </c>
      <c r="I36">
        <v>0</v>
      </c>
      <c r="J36">
        <v>0</v>
      </c>
      <c r="K36">
        <v>0</v>
      </c>
      <c r="L36" s="1">
        <v>0</v>
      </c>
      <c r="M36">
        <v>0</v>
      </c>
      <c r="N36" s="1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 s="1">
        <v>0</v>
      </c>
      <c r="AH36">
        <v>0</v>
      </c>
      <c r="AI36">
        <v>0</v>
      </c>
      <c r="AJ36">
        <v>0</v>
      </c>
      <c r="AK36">
        <v>0</v>
      </c>
      <c r="AL36" s="1">
        <v>0</v>
      </c>
      <c r="AM36">
        <v>0</v>
      </c>
      <c r="AN36" s="1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</row>
    <row r="37" spans="1:46" x14ac:dyDescent="0.25">
      <c r="A37" s="3" t="s">
        <v>191</v>
      </c>
      <c r="B37" t="s">
        <v>192</v>
      </c>
      <c r="C37" s="2">
        <v>44764</v>
      </c>
      <c r="D37">
        <v>127</v>
      </c>
      <c r="E37">
        <v>86.6</v>
      </c>
      <c r="F37">
        <v>13.4</v>
      </c>
      <c r="G37" s="1">
        <v>31060</v>
      </c>
      <c r="H37">
        <v>244.57</v>
      </c>
      <c r="I37">
        <v>31.62</v>
      </c>
      <c r="J37" s="1">
        <v>982</v>
      </c>
      <c r="K37">
        <v>7.74</v>
      </c>
      <c r="L37" s="1"/>
      <c r="M37">
        <v>64.400000000000006</v>
      </c>
      <c r="N37" s="1">
        <v>1526</v>
      </c>
      <c r="O37">
        <v>55</v>
      </c>
      <c r="P37">
        <v>116</v>
      </c>
      <c r="Q37">
        <v>9</v>
      </c>
      <c r="R37">
        <v>22.2</v>
      </c>
      <c r="S37">
        <v>77.8</v>
      </c>
      <c r="T37" s="1">
        <v>1556</v>
      </c>
      <c r="U37">
        <v>172.89</v>
      </c>
      <c r="V37">
        <v>55.95</v>
      </c>
      <c r="W37">
        <v>27</v>
      </c>
      <c r="X37">
        <v>3.09</v>
      </c>
      <c r="Y37" s="1">
        <v>1798</v>
      </c>
      <c r="Z37">
        <v>84.3</v>
      </c>
      <c r="AA37">
        <v>33</v>
      </c>
      <c r="AB37">
        <v>1</v>
      </c>
      <c r="AC37">
        <v>7</v>
      </c>
      <c r="AD37">
        <v>136</v>
      </c>
      <c r="AE37">
        <v>82.3</v>
      </c>
      <c r="AF37">
        <v>17.7</v>
      </c>
      <c r="AG37" s="1">
        <v>32616</v>
      </c>
      <c r="AH37">
        <v>239.82</v>
      </c>
      <c r="AI37">
        <v>32.29</v>
      </c>
      <c r="AJ37" s="1">
        <v>1010</v>
      </c>
      <c r="AK37">
        <v>7.43</v>
      </c>
      <c r="AL37" s="1">
        <v>669</v>
      </c>
      <c r="AM37">
        <v>64.7</v>
      </c>
      <c r="AN37" s="1">
        <v>1559</v>
      </c>
      <c r="AO37">
        <v>56</v>
      </c>
      <c r="AP37">
        <v>123</v>
      </c>
      <c r="AQ37" s="1">
        <v>809</v>
      </c>
      <c r="AR37">
        <v>0</v>
      </c>
      <c r="AS37" s="1">
        <v>29</v>
      </c>
      <c r="AT37" s="1">
        <v>1059</v>
      </c>
    </row>
    <row r="38" spans="1:46" x14ac:dyDescent="0.25">
      <c r="A38" s="3" t="s">
        <v>193</v>
      </c>
      <c r="B38" t="s">
        <v>329</v>
      </c>
      <c r="C38" s="2">
        <v>44764</v>
      </c>
      <c r="D38">
        <v>28</v>
      </c>
      <c r="E38">
        <v>89.2</v>
      </c>
      <c r="F38">
        <v>10.8</v>
      </c>
      <c r="G38" s="1">
        <v>5714</v>
      </c>
      <c r="H38">
        <v>204.07</v>
      </c>
      <c r="I38">
        <v>59.19</v>
      </c>
      <c r="J38" s="1">
        <v>96</v>
      </c>
      <c r="K38">
        <v>3.45</v>
      </c>
      <c r="L38" s="1"/>
      <c r="M38">
        <v>50.8</v>
      </c>
      <c r="N38" s="1">
        <v>190</v>
      </c>
      <c r="O38">
        <v>7</v>
      </c>
      <c r="P38">
        <v>30</v>
      </c>
      <c r="Q38">
        <v>4</v>
      </c>
      <c r="R38">
        <v>50</v>
      </c>
      <c r="S38">
        <v>50</v>
      </c>
      <c r="T38" s="1">
        <v>632</v>
      </c>
      <c r="U38">
        <v>158</v>
      </c>
      <c r="V38">
        <v>65.22</v>
      </c>
      <c r="W38">
        <v>9</v>
      </c>
      <c r="X38">
        <v>2.42</v>
      </c>
      <c r="Y38" s="1">
        <v>713</v>
      </c>
      <c r="Z38">
        <v>57</v>
      </c>
      <c r="AA38">
        <v>17</v>
      </c>
      <c r="AB38">
        <v>1</v>
      </c>
      <c r="AC38">
        <v>2</v>
      </c>
      <c r="AD38">
        <v>32</v>
      </c>
      <c r="AE38">
        <v>84.3</v>
      </c>
      <c r="AF38">
        <v>15.7</v>
      </c>
      <c r="AG38" s="1">
        <v>6346</v>
      </c>
      <c r="AH38">
        <v>198.31</v>
      </c>
      <c r="AI38">
        <v>59.74</v>
      </c>
      <c r="AJ38" s="1">
        <v>106</v>
      </c>
      <c r="AK38">
        <v>3.32</v>
      </c>
      <c r="AL38" s="1">
        <v>1041</v>
      </c>
      <c r="AM38">
        <v>51.3</v>
      </c>
      <c r="AN38" s="1">
        <v>207</v>
      </c>
      <c r="AO38">
        <v>7</v>
      </c>
      <c r="AP38">
        <v>32</v>
      </c>
      <c r="AQ38">
        <v>616</v>
      </c>
      <c r="AR38">
        <v>0</v>
      </c>
      <c r="AS38" s="1">
        <v>0</v>
      </c>
      <c r="AT38">
        <v>348</v>
      </c>
    </row>
    <row r="39" spans="1:46" x14ac:dyDescent="0.25">
      <c r="A39" s="3" t="s">
        <v>186</v>
      </c>
      <c r="B39" t="s">
        <v>330</v>
      </c>
      <c r="C39" s="2">
        <v>44764</v>
      </c>
      <c r="D39">
        <v>47</v>
      </c>
      <c r="E39">
        <v>95.7</v>
      </c>
      <c r="F39">
        <v>4.3</v>
      </c>
      <c r="G39" s="1">
        <v>12539</v>
      </c>
      <c r="H39">
        <v>266.79000000000002</v>
      </c>
      <c r="I39">
        <v>35.479999999999997</v>
      </c>
      <c r="J39" s="1">
        <v>353</v>
      </c>
      <c r="K39">
        <v>7.52</v>
      </c>
      <c r="L39" s="1"/>
      <c r="M39">
        <v>49.8</v>
      </c>
      <c r="N39" s="1">
        <v>710</v>
      </c>
      <c r="O39">
        <v>25</v>
      </c>
      <c r="P39">
        <v>33</v>
      </c>
      <c r="Q39">
        <v>6</v>
      </c>
      <c r="R39">
        <v>83.3</v>
      </c>
      <c r="S39">
        <v>16.7</v>
      </c>
      <c r="T39" s="1">
        <v>640</v>
      </c>
      <c r="U39">
        <v>106.67</v>
      </c>
      <c r="V39">
        <v>68.739999999999995</v>
      </c>
      <c r="W39">
        <v>9</v>
      </c>
      <c r="X39">
        <v>1.55</v>
      </c>
      <c r="Y39" s="1">
        <v>744</v>
      </c>
      <c r="Z39">
        <v>34.5</v>
      </c>
      <c r="AA39">
        <v>27</v>
      </c>
      <c r="AB39">
        <v>1</v>
      </c>
      <c r="AC39">
        <v>6</v>
      </c>
      <c r="AD39">
        <v>53</v>
      </c>
      <c r="AE39">
        <v>94.3</v>
      </c>
      <c r="AF39">
        <v>5.7</v>
      </c>
      <c r="AG39" s="1">
        <v>13179</v>
      </c>
      <c r="AH39">
        <v>248.66</v>
      </c>
      <c r="AI39">
        <v>36.340000000000003</v>
      </c>
      <c r="AJ39" s="1">
        <v>362</v>
      </c>
      <c r="AK39">
        <v>6.84</v>
      </c>
      <c r="AL39" s="1">
        <v>582</v>
      </c>
      <c r="AM39">
        <v>49.2</v>
      </c>
      <c r="AN39" s="1">
        <v>737</v>
      </c>
      <c r="AO39">
        <v>26</v>
      </c>
      <c r="AP39">
        <v>39</v>
      </c>
      <c r="AQ39">
        <v>88</v>
      </c>
      <c r="AR39">
        <v>0</v>
      </c>
      <c r="AS39" s="1">
        <v>95</v>
      </c>
      <c r="AT39" s="1">
        <v>169</v>
      </c>
    </row>
    <row r="40" spans="1:46" x14ac:dyDescent="0.25">
      <c r="A40" s="3" t="s">
        <v>188</v>
      </c>
      <c r="B40" t="s">
        <v>189</v>
      </c>
      <c r="C40" s="2">
        <v>44764</v>
      </c>
      <c r="D40">
        <v>32</v>
      </c>
      <c r="E40">
        <v>100</v>
      </c>
      <c r="F40">
        <v>0</v>
      </c>
      <c r="G40" s="1">
        <v>5031</v>
      </c>
      <c r="H40">
        <v>157.22</v>
      </c>
      <c r="I40">
        <v>45.84</v>
      </c>
      <c r="J40">
        <v>109</v>
      </c>
      <c r="K40">
        <v>3.43</v>
      </c>
      <c r="L40" s="1"/>
      <c r="M40">
        <v>25.3</v>
      </c>
      <c r="N40">
        <v>434</v>
      </c>
      <c r="O40">
        <v>16</v>
      </c>
      <c r="P40">
        <v>33</v>
      </c>
      <c r="Q40">
        <v>9</v>
      </c>
      <c r="R40">
        <v>44.4</v>
      </c>
      <c r="S40">
        <v>55.6</v>
      </c>
      <c r="T40" s="1">
        <v>664</v>
      </c>
      <c r="U40">
        <v>73.78</v>
      </c>
      <c r="V40">
        <v>82.38</v>
      </c>
      <c r="W40">
        <v>8</v>
      </c>
      <c r="X40">
        <v>0.9</v>
      </c>
      <c r="Y40" s="1">
        <v>775</v>
      </c>
      <c r="Z40">
        <v>38.4</v>
      </c>
      <c r="AA40">
        <v>21</v>
      </c>
      <c r="AB40">
        <v>1</v>
      </c>
      <c r="AC40">
        <v>8</v>
      </c>
      <c r="AD40">
        <v>41</v>
      </c>
      <c r="AE40">
        <v>87.8</v>
      </c>
      <c r="AF40">
        <v>12.2</v>
      </c>
      <c r="AG40" s="1">
        <v>5695</v>
      </c>
      <c r="AH40">
        <v>138.9</v>
      </c>
      <c r="AI40">
        <v>48.34</v>
      </c>
      <c r="AJ40">
        <v>117</v>
      </c>
      <c r="AK40">
        <v>2.87</v>
      </c>
      <c r="AL40" s="1">
        <v>409</v>
      </c>
      <c r="AM40">
        <v>25.8</v>
      </c>
      <c r="AN40">
        <v>455</v>
      </c>
      <c r="AO40">
        <v>16</v>
      </c>
      <c r="AP40">
        <v>41</v>
      </c>
      <c r="AQ40">
        <v>279</v>
      </c>
      <c r="AR40">
        <v>0</v>
      </c>
      <c r="AS40">
        <v>40</v>
      </c>
      <c r="AT40">
        <v>165</v>
      </c>
    </row>
    <row r="41" spans="1:46" x14ac:dyDescent="0.25">
      <c r="A41" s="3" t="s">
        <v>175</v>
      </c>
      <c r="B41" t="s">
        <v>331</v>
      </c>
      <c r="C41" s="2">
        <v>44764</v>
      </c>
      <c r="D41">
        <v>297</v>
      </c>
      <c r="E41">
        <v>98.3</v>
      </c>
      <c r="F41">
        <v>1.7</v>
      </c>
      <c r="G41" s="1">
        <v>97767</v>
      </c>
      <c r="H41">
        <v>329.18</v>
      </c>
      <c r="I41">
        <v>30.06</v>
      </c>
      <c r="J41" s="1">
        <v>3252</v>
      </c>
      <c r="K41">
        <v>10.95</v>
      </c>
      <c r="L41" s="1"/>
      <c r="M41">
        <v>55.7</v>
      </c>
      <c r="N41" s="1">
        <v>5841</v>
      </c>
      <c r="O41">
        <v>209</v>
      </c>
      <c r="P41">
        <v>312</v>
      </c>
      <c r="Q41">
        <v>21</v>
      </c>
      <c r="R41">
        <v>28.5</v>
      </c>
      <c r="S41">
        <v>71.5</v>
      </c>
      <c r="T41" s="1">
        <v>2193</v>
      </c>
      <c r="U41">
        <v>104.43</v>
      </c>
      <c r="V41">
        <v>67.44</v>
      </c>
      <c r="W41">
        <v>32</v>
      </c>
      <c r="X41">
        <v>1.55</v>
      </c>
      <c r="Y41" s="1">
        <v>359</v>
      </c>
      <c r="Z41">
        <v>17</v>
      </c>
      <c r="AA41">
        <v>191</v>
      </c>
      <c r="AB41">
        <v>7</v>
      </c>
      <c r="AC41">
        <v>21</v>
      </c>
      <c r="AD41">
        <v>318</v>
      </c>
      <c r="AE41">
        <v>93.7</v>
      </c>
      <c r="AF41">
        <v>6.3</v>
      </c>
      <c r="AG41" s="1">
        <v>99960</v>
      </c>
      <c r="AH41">
        <v>314.33999999999997</v>
      </c>
      <c r="AI41">
        <v>30.43</v>
      </c>
      <c r="AJ41" s="1">
        <v>3284</v>
      </c>
      <c r="AK41">
        <v>10.33</v>
      </c>
      <c r="AL41" s="1">
        <v>534</v>
      </c>
      <c r="AM41">
        <v>54.4</v>
      </c>
      <c r="AN41" s="1">
        <v>6032</v>
      </c>
      <c r="AO41">
        <v>215</v>
      </c>
      <c r="AP41">
        <v>333</v>
      </c>
      <c r="AQ41" s="1">
        <v>3607</v>
      </c>
      <c r="AR41">
        <v>0</v>
      </c>
      <c r="AS41" s="1">
        <v>1480</v>
      </c>
      <c r="AT41" s="1">
        <v>1293</v>
      </c>
    </row>
    <row r="42" spans="1:46" x14ac:dyDescent="0.25">
      <c r="A42" s="3" t="s">
        <v>171</v>
      </c>
      <c r="B42" t="s">
        <v>172</v>
      </c>
      <c r="C42" s="2">
        <v>44764</v>
      </c>
      <c r="D42">
        <v>0</v>
      </c>
      <c r="E42">
        <v>0</v>
      </c>
      <c r="F42">
        <v>0</v>
      </c>
      <c r="G42" s="1">
        <v>0</v>
      </c>
      <c r="H42">
        <v>0</v>
      </c>
      <c r="I42">
        <v>0</v>
      </c>
      <c r="J42" s="1">
        <v>0</v>
      </c>
      <c r="K42">
        <v>0</v>
      </c>
      <c r="L42" s="1">
        <v>0</v>
      </c>
      <c r="M42">
        <v>0</v>
      </c>
      <c r="N42" s="1">
        <v>0</v>
      </c>
      <c r="O42">
        <v>0</v>
      </c>
      <c r="P42">
        <v>0</v>
      </c>
      <c r="Q42">
        <v>0</v>
      </c>
      <c r="R42">
        <v>0</v>
      </c>
      <c r="S42">
        <v>0</v>
      </c>
      <c r="T42" s="1">
        <v>0</v>
      </c>
      <c r="U42">
        <v>0</v>
      </c>
      <c r="V42">
        <v>0</v>
      </c>
      <c r="W42">
        <v>0</v>
      </c>
      <c r="X42">
        <v>0</v>
      </c>
      <c r="Y42" s="1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 s="1">
        <v>0</v>
      </c>
      <c r="AH42">
        <v>0</v>
      </c>
      <c r="AI42">
        <v>0</v>
      </c>
      <c r="AJ42" s="1">
        <v>0</v>
      </c>
      <c r="AK42">
        <v>0</v>
      </c>
      <c r="AL42" s="1">
        <v>0</v>
      </c>
      <c r="AM42">
        <v>0</v>
      </c>
      <c r="AN42" s="1">
        <v>0</v>
      </c>
      <c r="AO42">
        <v>0</v>
      </c>
      <c r="AP42">
        <v>0</v>
      </c>
      <c r="AQ42" s="1">
        <v>0</v>
      </c>
      <c r="AR42">
        <v>0</v>
      </c>
      <c r="AS42" s="1">
        <v>0</v>
      </c>
      <c r="AT42" s="1">
        <v>0</v>
      </c>
    </row>
    <row r="43" spans="1:46" x14ac:dyDescent="0.25">
      <c r="A43" s="3" t="s">
        <v>173</v>
      </c>
      <c r="B43" t="s">
        <v>332</v>
      </c>
      <c r="C43" s="2">
        <v>44764</v>
      </c>
      <c r="D43">
        <v>260</v>
      </c>
      <c r="E43">
        <v>95.3</v>
      </c>
      <c r="F43">
        <v>4.7</v>
      </c>
      <c r="G43" s="1">
        <v>53043</v>
      </c>
      <c r="H43">
        <v>204.01</v>
      </c>
      <c r="I43">
        <v>48.95</v>
      </c>
      <c r="J43" s="1">
        <v>1083</v>
      </c>
      <c r="K43">
        <v>4.17</v>
      </c>
      <c r="L43" s="1"/>
      <c r="M43">
        <v>49.1</v>
      </c>
      <c r="N43" s="1">
        <v>2207</v>
      </c>
      <c r="O43">
        <v>79</v>
      </c>
      <c r="P43">
        <v>285</v>
      </c>
      <c r="Q43">
        <v>15</v>
      </c>
      <c r="R43">
        <v>26.6</v>
      </c>
      <c r="S43">
        <v>73.400000000000006</v>
      </c>
      <c r="T43" s="1">
        <v>1109</v>
      </c>
      <c r="U43">
        <v>73.930000000000007</v>
      </c>
      <c r="V43">
        <v>59.02</v>
      </c>
      <c r="W43">
        <v>18</v>
      </c>
      <c r="X43">
        <v>1.25</v>
      </c>
      <c r="Y43" s="1">
        <v>424</v>
      </c>
      <c r="Z43">
        <v>26.1</v>
      </c>
      <c r="AA43">
        <v>72</v>
      </c>
      <c r="AB43">
        <v>3</v>
      </c>
      <c r="AC43">
        <v>12</v>
      </c>
      <c r="AD43">
        <v>275</v>
      </c>
      <c r="AE43">
        <v>91.6</v>
      </c>
      <c r="AF43">
        <v>8.4</v>
      </c>
      <c r="AG43" s="1">
        <v>54152</v>
      </c>
      <c r="AH43">
        <v>196.92</v>
      </c>
      <c r="AI43">
        <v>49.12</v>
      </c>
      <c r="AJ43" s="1">
        <v>1102</v>
      </c>
      <c r="AK43">
        <v>4.01</v>
      </c>
      <c r="AL43" s="1">
        <v>768</v>
      </c>
      <c r="AM43">
        <v>48.3</v>
      </c>
      <c r="AN43" s="1">
        <v>2279</v>
      </c>
      <c r="AO43">
        <v>81</v>
      </c>
      <c r="AP43">
        <v>297</v>
      </c>
      <c r="AQ43" s="1">
        <v>2063</v>
      </c>
      <c r="AR43">
        <v>0</v>
      </c>
      <c r="AS43" s="1">
        <v>279</v>
      </c>
      <c r="AT43" s="1">
        <v>1459</v>
      </c>
    </row>
    <row r="44" spans="1:46" x14ac:dyDescent="0.25">
      <c r="A44" s="3" t="s">
        <v>181</v>
      </c>
      <c r="B44" s="9" t="s">
        <v>182</v>
      </c>
      <c r="C44" s="2">
        <v>44764</v>
      </c>
      <c r="D44">
        <v>102</v>
      </c>
      <c r="E44">
        <v>94.1</v>
      </c>
      <c r="F44">
        <v>5.9</v>
      </c>
      <c r="G44" s="1">
        <v>39328</v>
      </c>
      <c r="H44">
        <v>385.57</v>
      </c>
      <c r="I44">
        <v>32.369999999999997</v>
      </c>
      <c r="J44" s="1">
        <v>1215</v>
      </c>
      <c r="K44">
        <v>11.91</v>
      </c>
      <c r="L44" s="1"/>
      <c r="M44">
        <v>62.1</v>
      </c>
      <c r="N44" s="1">
        <v>1958</v>
      </c>
      <c r="O44">
        <v>70</v>
      </c>
      <c r="P44">
        <v>99</v>
      </c>
      <c r="Q44">
        <v>15</v>
      </c>
      <c r="R44">
        <v>46.6</v>
      </c>
      <c r="S44">
        <v>53.4</v>
      </c>
      <c r="T44" s="1">
        <v>1197</v>
      </c>
      <c r="U44" s="31">
        <v>79.8</v>
      </c>
      <c r="V44">
        <v>70.95</v>
      </c>
      <c r="W44">
        <v>16</v>
      </c>
      <c r="X44">
        <v>1.1200000000000001</v>
      </c>
      <c r="Y44" s="1">
        <v>682</v>
      </c>
      <c r="Z44">
        <v>33.700000000000003</v>
      </c>
      <c r="AA44">
        <v>50</v>
      </c>
      <c r="AB44">
        <v>2</v>
      </c>
      <c r="AC44">
        <v>15</v>
      </c>
      <c r="AD44">
        <v>117</v>
      </c>
      <c r="AE44">
        <v>88</v>
      </c>
      <c r="AF44">
        <v>12</v>
      </c>
      <c r="AG44" s="1">
        <v>40525</v>
      </c>
      <c r="AH44">
        <v>346.37</v>
      </c>
      <c r="AI44">
        <v>32.9</v>
      </c>
      <c r="AJ44" s="1">
        <v>1231</v>
      </c>
      <c r="AK44">
        <v>10.53</v>
      </c>
      <c r="AL44" s="1">
        <v>646</v>
      </c>
      <c r="AM44">
        <v>61.3</v>
      </c>
      <c r="AN44" s="1">
        <v>2008</v>
      </c>
      <c r="AO44">
        <v>72</v>
      </c>
      <c r="AP44">
        <v>114</v>
      </c>
      <c r="AQ44" s="1">
        <v>496</v>
      </c>
      <c r="AR44">
        <v>0</v>
      </c>
      <c r="AS44" s="1">
        <v>642</v>
      </c>
      <c r="AT44" s="1">
        <v>845</v>
      </c>
    </row>
    <row r="45" spans="1:46" x14ac:dyDescent="0.25">
      <c r="A45" s="3" t="s">
        <v>183</v>
      </c>
      <c r="B45" t="s">
        <v>184</v>
      </c>
      <c r="C45" s="2">
        <v>44764</v>
      </c>
      <c r="D45">
        <v>0</v>
      </c>
      <c r="E45">
        <v>0</v>
      </c>
      <c r="F45">
        <v>0</v>
      </c>
      <c r="G45" s="1">
        <v>0</v>
      </c>
      <c r="H45">
        <v>0</v>
      </c>
      <c r="I45">
        <v>0</v>
      </c>
      <c r="J45">
        <v>0</v>
      </c>
      <c r="K45">
        <v>0</v>
      </c>
      <c r="L45" s="1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 s="1">
        <v>0</v>
      </c>
      <c r="U45">
        <v>0</v>
      </c>
      <c r="V45">
        <v>0</v>
      </c>
      <c r="W45">
        <v>0</v>
      </c>
      <c r="X45">
        <v>0</v>
      </c>
      <c r="Y45" s="1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 s="1">
        <v>0</v>
      </c>
      <c r="AH45">
        <v>0</v>
      </c>
      <c r="AI45">
        <v>0</v>
      </c>
      <c r="AJ45">
        <v>0</v>
      </c>
      <c r="AK45">
        <v>0</v>
      </c>
      <c r="AL45" s="1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 s="1">
        <v>0</v>
      </c>
    </row>
    <row r="46" spans="1:46" x14ac:dyDescent="0.25">
      <c r="A46" s="3" t="s">
        <v>160</v>
      </c>
      <c r="B46" t="s">
        <v>161</v>
      </c>
      <c r="C46" s="2">
        <v>44764</v>
      </c>
      <c r="D46">
        <v>175</v>
      </c>
      <c r="E46">
        <v>94.2</v>
      </c>
      <c r="F46">
        <v>5.8</v>
      </c>
      <c r="G46" s="1">
        <v>44573</v>
      </c>
      <c r="H46">
        <v>254.7</v>
      </c>
      <c r="I46">
        <v>36.04</v>
      </c>
      <c r="J46" s="1">
        <v>1236</v>
      </c>
      <c r="K46">
        <v>7.07</v>
      </c>
      <c r="L46" s="1"/>
      <c r="M46">
        <v>44.9</v>
      </c>
      <c r="N46" s="1">
        <v>2752</v>
      </c>
      <c r="O46">
        <v>98</v>
      </c>
      <c r="P46">
        <v>169</v>
      </c>
      <c r="Q46">
        <v>13</v>
      </c>
      <c r="R46">
        <v>30.7</v>
      </c>
      <c r="S46">
        <v>69.3</v>
      </c>
      <c r="T46" s="1">
        <v>1121</v>
      </c>
      <c r="U46">
        <v>86.23</v>
      </c>
      <c r="V46">
        <v>49.56</v>
      </c>
      <c r="W46">
        <v>22</v>
      </c>
      <c r="X46">
        <v>1.74</v>
      </c>
      <c r="Y46" s="1">
        <v>651</v>
      </c>
      <c r="Z46">
        <v>47.1</v>
      </c>
      <c r="AA46">
        <v>48</v>
      </c>
      <c r="AB46">
        <v>2</v>
      </c>
      <c r="AC46">
        <v>9</v>
      </c>
      <c r="AD46">
        <v>188</v>
      </c>
      <c r="AE46">
        <v>89.8</v>
      </c>
      <c r="AF46">
        <v>10.199999999999999</v>
      </c>
      <c r="AG46" s="1">
        <v>45694</v>
      </c>
      <c r="AH46">
        <v>243.05</v>
      </c>
      <c r="AI46">
        <v>36.29</v>
      </c>
      <c r="AJ46" s="1">
        <v>1259</v>
      </c>
      <c r="AK46">
        <v>6.7</v>
      </c>
      <c r="AL46" s="1">
        <v>525</v>
      </c>
      <c r="AM46">
        <v>44.9</v>
      </c>
      <c r="AN46" s="1">
        <v>2800</v>
      </c>
      <c r="AO46">
        <v>100</v>
      </c>
      <c r="AP46">
        <v>178</v>
      </c>
      <c r="AQ46" s="1">
        <v>1328</v>
      </c>
      <c r="AR46">
        <v>3</v>
      </c>
      <c r="AS46" s="1">
        <v>275</v>
      </c>
      <c r="AT46" s="1">
        <v>961</v>
      </c>
    </row>
    <row r="47" spans="1:46" x14ac:dyDescent="0.25">
      <c r="A47" s="3" t="s">
        <v>162</v>
      </c>
      <c r="B47" t="s">
        <v>163</v>
      </c>
      <c r="C47" s="2">
        <v>44764</v>
      </c>
      <c r="D47">
        <v>4</v>
      </c>
      <c r="E47">
        <v>50</v>
      </c>
      <c r="F47">
        <v>50</v>
      </c>
      <c r="G47" s="1">
        <v>1096</v>
      </c>
      <c r="H47">
        <v>274</v>
      </c>
      <c r="I47">
        <v>65.790000000000006</v>
      </c>
      <c r="J47" s="1">
        <v>16</v>
      </c>
      <c r="K47">
        <v>4.17</v>
      </c>
      <c r="L47" s="1"/>
      <c r="M47">
        <v>52.1</v>
      </c>
      <c r="N47" s="1">
        <v>32</v>
      </c>
      <c r="O47">
        <v>1</v>
      </c>
      <c r="P47">
        <v>4</v>
      </c>
      <c r="Q47">
        <v>0</v>
      </c>
      <c r="R47">
        <v>0</v>
      </c>
      <c r="S47">
        <v>0</v>
      </c>
      <c r="T47" s="1">
        <v>0</v>
      </c>
      <c r="U47">
        <v>0</v>
      </c>
      <c r="V47">
        <v>0</v>
      </c>
      <c r="W47">
        <v>0</v>
      </c>
      <c r="X47">
        <v>0</v>
      </c>
      <c r="Y47" s="1">
        <v>0</v>
      </c>
      <c r="Z47">
        <v>0</v>
      </c>
      <c r="AA47">
        <v>0</v>
      </c>
      <c r="AB47">
        <v>0</v>
      </c>
      <c r="AC47">
        <v>0</v>
      </c>
      <c r="AD47">
        <v>4</v>
      </c>
      <c r="AE47">
        <v>50</v>
      </c>
      <c r="AF47">
        <v>50</v>
      </c>
      <c r="AG47" s="1">
        <v>1096</v>
      </c>
      <c r="AH47">
        <v>274</v>
      </c>
      <c r="AI47">
        <v>65.790000000000006</v>
      </c>
      <c r="AJ47" s="1">
        <v>16</v>
      </c>
      <c r="AK47">
        <v>4.17</v>
      </c>
      <c r="AL47" s="1">
        <v>1271</v>
      </c>
      <c r="AM47">
        <v>52</v>
      </c>
      <c r="AN47" s="1">
        <v>32</v>
      </c>
      <c r="AO47">
        <v>1</v>
      </c>
      <c r="AP47">
        <v>4</v>
      </c>
      <c r="AQ47">
        <v>18</v>
      </c>
      <c r="AR47">
        <v>0</v>
      </c>
      <c r="AS47" s="1">
        <v>5</v>
      </c>
      <c r="AT47" s="1">
        <v>171</v>
      </c>
    </row>
    <row r="48" spans="1:46" x14ac:dyDescent="0.25">
      <c r="A48" s="3" t="s">
        <v>196</v>
      </c>
      <c r="B48" s="9" t="s">
        <v>197</v>
      </c>
      <c r="C48" s="2">
        <v>44764</v>
      </c>
      <c r="D48">
        <v>57</v>
      </c>
      <c r="E48">
        <v>92.9</v>
      </c>
      <c r="F48">
        <v>7.1</v>
      </c>
      <c r="G48" s="1">
        <v>13163</v>
      </c>
      <c r="H48">
        <v>230.93</v>
      </c>
      <c r="I48">
        <v>34.090000000000003</v>
      </c>
      <c r="J48" s="1">
        <v>386</v>
      </c>
      <c r="K48">
        <v>6.77</v>
      </c>
      <c r="L48" s="1"/>
      <c r="M48">
        <v>74.5</v>
      </c>
      <c r="N48" s="1">
        <v>518</v>
      </c>
      <c r="O48">
        <v>19</v>
      </c>
      <c r="P48">
        <v>59</v>
      </c>
      <c r="Q48">
        <v>7</v>
      </c>
      <c r="R48">
        <v>14.2</v>
      </c>
      <c r="S48">
        <v>85.8</v>
      </c>
      <c r="T48" s="1">
        <v>741</v>
      </c>
      <c r="U48">
        <v>105.86</v>
      </c>
      <c r="V48">
        <v>63.88</v>
      </c>
      <c r="W48">
        <v>11</v>
      </c>
      <c r="X48">
        <v>1.66</v>
      </c>
      <c r="Y48" s="1">
        <v>837</v>
      </c>
      <c r="Z48">
        <v>77.3</v>
      </c>
      <c r="AA48">
        <v>15</v>
      </c>
      <c r="AB48">
        <v>1</v>
      </c>
      <c r="AC48">
        <v>7</v>
      </c>
      <c r="AD48">
        <v>64</v>
      </c>
      <c r="AE48">
        <v>84.3</v>
      </c>
      <c r="AF48">
        <v>15.7</v>
      </c>
      <c r="AG48" s="1">
        <v>13904</v>
      </c>
      <c r="AH48">
        <v>217.25</v>
      </c>
      <c r="AI48">
        <v>34.96</v>
      </c>
      <c r="AJ48" s="1">
        <v>397</v>
      </c>
      <c r="AK48">
        <v>6.21</v>
      </c>
      <c r="AL48" s="1">
        <v>840</v>
      </c>
      <c r="AM48">
        <v>74.599999999999994</v>
      </c>
      <c r="AN48" s="1">
        <v>533</v>
      </c>
      <c r="AO48">
        <v>19</v>
      </c>
      <c r="AP48">
        <v>66</v>
      </c>
      <c r="AQ48">
        <v>258</v>
      </c>
      <c r="AR48">
        <v>0</v>
      </c>
      <c r="AS48" s="1">
        <v>536</v>
      </c>
      <c r="AT48" s="1">
        <v>803</v>
      </c>
    </row>
    <row r="49" spans="1:46" x14ac:dyDescent="0.25">
      <c r="A49" s="3" t="s">
        <v>198</v>
      </c>
      <c r="B49" s="9" t="s">
        <v>199</v>
      </c>
      <c r="C49" s="36">
        <v>44764</v>
      </c>
      <c r="D49">
        <v>66</v>
      </c>
      <c r="E49">
        <v>98.4</v>
      </c>
      <c r="F49">
        <v>1.6</v>
      </c>
      <c r="G49" s="1">
        <v>9956</v>
      </c>
      <c r="H49">
        <v>150.85</v>
      </c>
      <c r="I49">
        <v>65.510000000000005</v>
      </c>
      <c r="J49">
        <v>151</v>
      </c>
      <c r="K49">
        <v>2.2999999999999998</v>
      </c>
      <c r="L49" s="1"/>
      <c r="M49">
        <v>30</v>
      </c>
      <c r="N49" s="1">
        <v>507</v>
      </c>
      <c r="O49">
        <v>18</v>
      </c>
      <c r="P49">
        <v>75</v>
      </c>
      <c r="Q49">
        <v>4</v>
      </c>
      <c r="R49">
        <v>75</v>
      </c>
      <c r="S49">
        <v>25</v>
      </c>
      <c r="T49" s="1">
        <v>337</v>
      </c>
      <c r="U49">
        <v>84.25</v>
      </c>
      <c r="V49">
        <v>119.08</v>
      </c>
      <c r="W49">
        <v>2</v>
      </c>
      <c r="X49">
        <v>0.71</v>
      </c>
      <c r="Y49" s="1">
        <v>0</v>
      </c>
      <c r="Z49">
        <v>35.4</v>
      </c>
      <c r="AA49">
        <v>8</v>
      </c>
      <c r="AB49">
        <v>0</v>
      </c>
      <c r="AC49">
        <v>2</v>
      </c>
      <c r="AD49">
        <v>70</v>
      </c>
      <c r="AE49">
        <v>97.1</v>
      </c>
      <c r="AF49">
        <v>2.9</v>
      </c>
      <c r="AG49" s="1">
        <v>10293</v>
      </c>
      <c r="AH49">
        <v>147.04</v>
      </c>
      <c r="AI49">
        <v>66.489999999999995</v>
      </c>
      <c r="AJ49">
        <v>154</v>
      </c>
      <c r="AK49">
        <v>2.21</v>
      </c>
      <c r="AL49" s="1">
        <v>656</v>
      </c>
      <c r="AM49">
        <v>30</v>
      </c>
      <c r="AN49" s="1">
        <v>515</v>
      </c>
      <c r="AO49">
        <v>18</v>
      </c>
      <c r="AP49">
        <v>77</v>
      </c>
      <c r="AQ49" s="1">
        <v>339</v>
      </c>
      <c r="AR49">
        <v>0</v>
      </c>
      <c r="AS49">
        <v>105</v>
      </c>
      <c r="AT49" s="1">
        <v>137</v>
      </c>
    </row>
    <row r="50" spans="1:46" x14ac:dyDescent="0.25">
      <c r="A50" s="3" t="s">
        <v>166</v>
      </c>
      <c r="B50" s="9" t="s">
        <v>167</v>
      </c>
      <c r="C50" s="2">
        <v>44764</v>
      </c>
      <c r="D50">
        <v>102</v>
      </c>
      <c r="E50">
        <v>94.1</v>
      </c>
      <c r="F50">
        <v>5.9</v>
      </c>
      <c r="G50" s="1">
        <v>20921</v>
      </c>
      <c r="H50">
        <v>205.11</v>
      </c>
      <c r="I50">
        <v>30.01</v>
      </c>
      <c r="J50">
        <v>697</v>
      </c>
      <c r="K50">
        <v>6.83</v>
      </c>
      <c r="L50" s="1"/>
      <c r="M50">
        <v>50.9</v>
      </c>
      <c r="N50" s="1">
        <v>1370</v>
      </c>
      <c r="O50">
        <v>49</v>
      </c>
      <c r="P50">
        <v>90</v>
      </c>
      <c r="Q50">
        <v>15</v>
      </c>
      <c r="R50">
        <v>26.6</v>
      </c>
      <c r="S50">
        <v>73.400000000000006</v>
      </c>
      <c r="T50" s="1">
        <v>1373</v>
      </c>
      <c r="U50">
        <v>91.53</v>
      </c>
      <c r="V50">
        <v>37.950000000000003</v>
      </c>
      <c r="W50">
        <v>36</v>
      </c>
      <c r="X50">
        <v>2.41</v>
      </c>
      <c r="Y50" s="1">
        <v>395</v>
      </c>
      <c r="Z50">
        <v>33.200000000000003</v>
      </c>
      <c r="AA50">
        <v>109</v>
      </c>
      <c r="AB50">
        <v>4</v>
      </c>
      <c r="AC50">
        <v>14</v>
      </c>
      <c r="AD50">
        <v>117</v>
      </c>
      <c r="AE50">
        <v>85.4</v>
      </c>
      <c r="AF50">
        <v>14.6</v>
      </c>
      <c r="AG50" s="1">
        <v>22294</v>
      </c>
      <c r="AH50">
        <v>190.55</v>
      </c>
      <c r="AI50">
        <v>30.4</v>
      </c>
      <c r="AJ50">
        <v>733</v>
      </c>
      <c r="AK50">
        <v>6.27</v>
      </c>
      <c r="AL50" s="1">
        <v>483</v>
      </c>
      <c r="AM50">
        <v>49.5</v>
      </c>
      <c r="AN50" s="1">
        <v>1479</v>
      </c>
      <c r="AO50">
        <v>53</v>
      </c>
      <c r="AP50">
        <v>104</v>
      </c>
      <c r="AQ50" s="1">
        <v>211</v>
      </c>
      <c r="AR50">
        <v>0</v>
      </c>
      <c r="AS50">
        <v>418</v>
      </c>
      <c r="AT50" s="1">
        <v>1244</v>
      </c>
    </row>
    <row r="51" spans="1:46" x14ac:dyDescent="0.25">
      <c r="A51" s="3" t="s">
        <v>168</v>
      </c>
      <c r="B51" t="s">
        <v>333</v>
      </c>
      <c r="C51" s="2">
        <v>44764</v>
      </c>
      <c r="D51">
        <v>66</v>
      </c>
      <c r="E51">
        <v>87.8</v>
      </c>
      <c r="F51">
        <v>12.2</v>
      </c>
      <c r="G51" s="1">
        <v>15658</v>
      </c>
      <c r="H51">
        <v>237.24</v>
      </c>
      <c r="I51">
        <v>42.44</v>
      </c>
      <c r="J51">
        <v>368</v>
      </c>
      <c r="K51">
        <v>5.59</v>
      </c>
      <c r="L51" s="1"/>
      <c r="M51">
        <v>52.4</v>
      </c>
      <c r="N51" s="1">
        <v>704</v>
      </c>
      <c r="O51">
        <v>25</v>
      </c>
      <c r="P51">
        <v>63</v>
      </c>
      <c r="Q51">
        <v>8</v>
      </c>
      <c r="R51">
        <v>62.5</v>
      </c>
      <c r="S51">
        <v>37.5</v>
      </c>
      <c r="T51" s="1">
        <v>735</v>
      </c>
      <c r="U51">
        <v>91.88</v>
      </c>
      <c r="V51">
        <v>62.08</v>
      </c>
      <c r="W51">
        <v>11</v>
      </c>
      <c r="X51">
        <v>1.48</v>
      </c>
      <c r="Y51" s="1">
        <v>837</v>
      </c>
      <c r="Z51">
        <v>45.5</v>
      </c>
      <c r="AA51">
        <v>26</v>
      </c>
      <c r="AB51">
        <v>1</v>
      </c>
      <c r="AC51">
        <v>7</v>
      </c>
      <c r="AD51">
        <v>74</v>
      </c>
      <c r="AE51">
        <v>85.1</v>
      </c>
      <c r="AF51">
        <v>14.9</v>
      </c>
      <c r="AG51" s="1">
        <v>16393</v>
      </c>
      <c r="AH51">
        <v>221.53</v>
      </c>
      <c r="AI51">
        <v>43.05</v>
      </c>
      <c r="AJ51">
        <v>380</v>
      </c>
      <c r="AK51">
        <v>5.15</v>
      </c>
      <c r="AL51" s="1">
        <v>724</v>
      </c>
      <c r="AM51">
        <v>52.1</v>
      </c>
      <c r="AN51" s="1">
        <v>730</v>
      </c>
      <c r="AO51">
        <v>26</v>
      </c>
      <c r="AP51">
        <v>70</v>
      </c>
      <c r="AQ51">
        <v>905</v>
      </c>
      <c r="AR51">
        <v>0</v>
      </c>
      <c r="AS51">
        <v>35</v>
      </c>
      <c r="AT51">
        <v>473</v>
      </c>
    </row>
    <row r="52" spans="1:46" x14ac:dyDescent="0.25">
      <c r="A52" s="3" t="s">
        <v>178</v>
      </c>
      <c r="B52" t="s">
        <v>334</v>
      </c>
      <c r="C52" s="2">
        <v>44764</v>
      </c>
      <c r="D52">
        <v>61</v>
      </c>
      <c r="E52">
        <v>93.4</v>
      </c>
      <c r="F52">
        <v>6.6</v>
      </c>
      <c r="G52" s="1">
        <v>14493</v>
      </c>
      <c r="H52">
        <v>237.59</v>
      </c>
      <c r="I52">
        <v>34.590000000000003</v>
      </c>
      <c r="J52" s="1">
        <v>418</v>
      </c>
      <c r="K52">
        <v>6.87</v>
      </c>
      <c r="L52" s="1"/>
      <c r="M52">
        <v>53.9</v>
      </c>
      <c r="N52" s="1">
        <v>778</v>
      </c>
      <c r="O52">
        <v>28</v>
      </c>
      <c r="P52">
        <v>51</v>
      </c>
      <c r="Q52">
        <v>4</v>
      </c>
      <c r="R52">
        <v>25</v>
      </c>
      <c r="S52">
        <v>75</v>
      </c>
      <c r="T52" s="1">
        <v>190</v>
      </c>
      <c r="U52">
        <v>47.5</v>
      </c>
      <c r="V52">
        <v>49.74</v>
      </c>
      <c r="W52">
        <v>3</v>
      </c>
      <c r="X52">
        <v>0.96</v>
      </c>
      <c r="Y52" s="1">
        <v>217</v>
      </c>
      <c r="Z52">
        <v>15.9</v>
      </c>
      <c r="AA52">
        <v>24</v>
      </c>
      <c r="AB52">
        <v>1</v>
      </c>
      <c r="AC52">
        <v>4</v>
      </c>
      <c r="AD52">
        <v>65</v>
      </c>
      <c r="AE52">
        <v>89.2</v>
      </c>
      <c r="AF52">
        <v>10.8</v>
      </c>
      <c r="AG52" s="1">
        <v>14683</v>
      </c>
      <c r="AH52">
        <v>225.89</v>
      </c>
      <c r="AI52">
        <v>34.729999999999997</v>
      </c>
      <c r="AJ52" s="1">
        <v>422</v>
      </c>
      <c r="AK52">
        <v>6.5</v>
      </c>
      <c r="AL52" s="1">
        <v>582</v>
      </c>
      <c r="AM52">
        <v>52.7</v>
      </c>
      <c r="AN52" s="1">
        <v>802</v>
      </c>
      <c r="AO52">
        <v>29</v>
      </c>
      <c r="AP52">
        <v>55</v>
      </c>
      <c r="AQ52">
        <v>50</v>
      </c>
      <c r="AR52">
        <v>0</v>
      </c>
      <c r="AS52" s="1">
        <v>773</v>
      </c>
      <c r="AT52" s="1">
        <v>373</v>
      </c>
    </row>
    <row r="53" spans="1:46" x14ac:dyDescent="0.25">
      <c r="A53" s="3" t="s">
        <v>222</v>
      </c>
      <c r="B53" t="s">
        <v>335</v>
      </c>
      <c r="C53" s="2">
        <v>44764</v>
      </c>
      <c r="D53">
        <v>137</v>
      </c>
      <c r="E53">
        <v>100</v>
      </c>
      <c r="F53">
        <v>0</v>
      </c>
      <c r="G53" s="1">
        <v>49098</v>
      </c>
      <c r="H53">
        <v>358.38</v>
      </c>
      <c r="I53">
        <v>34.46</v>
      </c>
      <c r="J53" s="1">
        <v>1424</v>
      </c>
      <c r="K53">
        <v>10.4</v>
      </c>
      <c r="L53" s="1"/>
      <c r="M53">
        <v>53.7</v>
      </c>
      <c r="N53" s="1">
        <v>2651</v>
      </c>
      <c r="O53">
        <v>95</v>
      </c>
      <c r="P53">
        <v>137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137</v>
      </c>
      <c r="AE53">
        <v>100</v>
      </c>
      <c r="AF53">
        <v>0</v>
      </c>
      <c r="AG53" s="1">
        <v>49098</v>
      </c>
      <c r="AH53">
        <v>358.38</v>
      </c>
      <c r="AI53">
        <v>34.46</v>
      </c>
      <c r="AJ53" s="1">
        <v>1424</v>
      </c>
      <c r="AK53">
        <v>10.4</v>
      </c>
      <c r="AL53" s="1">
        <v>593</v>
      </c>
      <c r="AM53">
        <v>53.7</v>
      </c>
      <c r="AN53" s="1">
        <v>2651</v>
      </c>
      <c r="AO53">
        <v>95</v>
      </c>
      <c r="AP53">
        <v>137</v>
      </c>
      <c r="AQ53" s="1">
        <v>602</v>
      </c>
      <c r="AR53">
        <v>90</v>
      </c>
      <c r="AS53">
        <v>0</v>
      </c>
      <c r="AT53">
        <v>0</v>
      </c>
    </row>
    <row r="54" spans="1:46" x14ac:dyDescent="0.25">
      <c r="A54" s="3" t="s">
        <v>231</v>
      </c>
      <c r="B54" t="s">
        <v>336</v>
      </c>
      <c r="C54" s="2">
        <v>44764</v>
      </c>
      <c r="D54">
        <v>2</v>
      </c>
      <c r="E54">
        <v>100</v>
      </c>
      <c r="F54">
        <v>0</v>
      </c>
      <c r="G54" s="1">
        <v>1095</v>
      </c>
      <c r="H54">
        <v>547.5</v>
      </c>
      <c r="I54">
        <v>31.29</v>
      </c>
      <c r="J54" s="1">
        <v>35</v>
      </c>
      <c r="K54">
        <v>17.5</v>
      </c>
      <c r="L54" s="1"/>
      <c r="M54">
        <v>30.7</v>
      </c>
      <c r="N54" s="1">
        <v>114</v>
      </c>
      <c r="O54">
        <v>4</v>
      </c>
      <c r="P54">
        <v>3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2</v>
      </c>
      <c r="AE54">
        <v>100</v>
      </c>
      <c r="AF54">
        <v>0</v>
      </c>
      <c r="AG54" s="1">
        <v>1095</v>
      </c>
      <c r="AH54">
        <v>547.5</v>
      </c>
      <c r="AI54">
        <v>31.29</v>
      </c>
      <c r="AJ54" s="1">
        <v>35</v>
      </c>
      <c r="AK54">
        <v>17.5</v>
      </c>
      <c r="AL54" s="1">
        <v>318</v>
      </c>
      <c r="AM54">
        <v>30.7</v>
      </c>
      <c r="AN54" s="1">
        <v>114</v>
      </c>
      <c r="AO54">
        <v>4</v>
      </c>
      <c r="AP54">
        <v>3</v>
      </c>
      <c r="AQ54">
        <v>0</v>
      </c>
      <c r="AR54">
        <v>0</v>
      </c>
      <c r="AS54">
        <v>25</v>
      </c>
      <c r="AT54">
        <v>0</v>
      </c>
    </row>
    <row r="55" spans="1:46" x14ac:dyDescent="0.25">
      <c r="A55" s="3" t="s">
        <v>223</v>
      </c>
      <c r="B55" t="s">
        <v>337</v>
      </c>
      <c r="C55" s="2">
        <v>44764</v>
      </c>
      <c r="D55">
        <v>2</v>
      </c>
      <c r="E55">
        <v>100</v>
      </c>
      <c r="F55">
        <v>0</v>
      </c>
      <c r="G55" s="1">
        <v>136</v>
      </c>
      <c r="H55" s="31">
        <v>68</v>
      </c>
      <c r="I55">
        <v>68</v>
      </c>
      <c r="J55">
        <v>2</v>
      </c>
      <c r="K55">
        <v>1</v>
      </c>
      <c r="L55" s="1"/>
      <c r="M55">
        <v>2.5</v>
      </c>
      <c r="N55">
        <v>81</v>
      </c>
      <c r="O55">
        <v>3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2</v>
      </c>
      <c r="AE55">
        <v>100</v>
      </c>
      <c r="AF55">
        <v>0</v>
      </c>
      <c r="AG55" s="1">
        <v>136</v>
      </c>
      <c r="AH55" s="31">
        <v>68</v>
      </c>
      <c r="AI55">
        <v>68</v>
      </c>
      <c r="AJ55">
        <v>2</v>
      </c>
      <c r="AK55">
        <v>1</v>
      </c>
      <c r="AL55" s="1">
        <v>52</v>
      </c>
      <c r="AM55">
        <v>2.4</v>
      </c>
      <c r="AN55">
        <v>81</v>
      </c>
      <c r="AO55">
        <v>3</v>
      </c>
      <c r="AP55">
        <v>2</v>
      </c>
      <c r="AQ55">
        <v>0</v>
      </c>
      <c r="AR55">
        <v>0</v>
      </c>
      <c r="AS55">
        <v>0</v>
      </c>
      <c r="AT55">
        <v>0</v>
      </c>
    </row>
    <row r="56" spans="1:46" x14ac:dyDescent="0.25">
      <c r="A56" s="3" t="s">
        <v>226</v>
      </c>
      <c r="B56" t="s">
        <v>338</v>
      </c>
      <c r="C56" s="2">
        <v>44764</v>
      </c>
      <c r="D56">
        <v>40</v>
      </c>
      <c r="E56">
        <v>97.5</v>
      </c>
      <c r="F56">
        <v>2.5</v>
      </c>
      <c r="G56" s="1">
        <v>16598</v>
      </c>
      <c r="H56">
        <v>414.95</v>
      </c>
      <c r="I56">
        <v>37.64</v>
      </c>
      <c r="J56" s="1">
        <v>440</v>
      </c>
      <c r="K56">
        <v>11.02</v>
      </c>
      <c r="L56" s="1"/>
      <c r="M56">
        <v>74.900000000000006</v>
      </c>
      <c r="N56" s="1">
        <v>589</v>
      </c>
      <c r="O56">
        <v>21</v>
      </c>
      <c r="P56">
        <v>33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40</v>
      </c>
      <c r="AE56">
        <v>97.5</v>
      </c>
      <c r="AF56">
        <v>2.5</v>
      </c>
      <c r="AG56" s="1">
        <v>16598</v>
      </c>
      <c r="AH56">
        <v>414.95</v>
      </c>
      <c r="AI56">
        <v>37.64</v>
      </c>
      <c r="AJ56" s="1">
        <v>440</v>
      </c>
      <c r="AK56">
        <v>11.02</v>
      </c>
      <c r="AL56" s="1">
        <v>908</v>
      </c>
      <c r="AM56">
        <v>74.8</v>
      </c>
      <c r="AN56" s="1">
        <v>589</v>
      </c>
      <c r="AO56">
        <v>21</v>
      </c>
      <c r="AP56">
        <v>33</v>
      </c>
      <c r="AQ56">
        <v>390</v>
      </c>
      <c r="AR56">
        <v>0</v>
      </c>
      <c r="AS56">
        <v>145</v>
      </c>
      <c r="AT56">
        <v>0</v>
      </c>
    </row>
    <row r="57" spans="1:46" x14ac:dyDescent="0.25">
      <c r="A57" s="3" t="s">
        <v>234</v>
      </c>
      <c r="B57" t="s">
        <v>378</v>
      </c>
      <c r="C57" s="2">
        <v>44764</v>
      </c>
      <c r="D57">
        <v>9</v>
      </c>
      <c r="E57">
        <v>100</v>
      </c>
      <c r="F57">
        <v>0</v>
      </c>
      <c r="G57" s="1">
        <v>2645</v>
      </c>
      <c r="H57">
        <v>293.89</v>
      </c>
      <c r="I57">
        <v>84.45</v>
      </c>
      <c r="J57">
        <v>31</v>
      </c>
      <c r="K57">
        <v>3.48</v>
      </c>
      <c r="L57" s="1"/>
      <c r="M57">
        <v>20.6</v>
      </c>
      <c r="N57" s="1">
        <v>152</v>
      </c>
      <c r="O57">
        <v>5</v>
      </c>
      <c r="P57">
        <v>9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4</v>
      </c>
      <c r="AB57">
        <v>0</v>
      </c>
      <c r="AC57">
        <v>0</v>
      </c>
      <c r="AD57">
        <v>9</v>
      </c>
      <c r="AE57">
        <v>100</v>
      </c>
      <c r="AF57">
        <v>0</v>
      </c>
      <c r="AG57" s="1">
        <v>2645</v>
      </c>
      <c r="AH57">
        <v>293.89</v>
      </c>
      <c r="AI57">
        <v>84.45</v>
      </c>
      <c r="AJ57">
        <v>31</v>
      </c>
      <c r="AK57">
        <v>3.48</v>
      </c>
      <c r="AL57" s="1">
        <v>506</v>
      </c>
      <c r="AM57">
        <v>20</v>
      </c>
      <c r="AN57" s="1">
        <v>156</v>
      </c>
      <c r="AO57">
        <v>6</v>
      </c>
      <c r="AP57">
        <v>9</v>
      </c>
      <c r="AQ57">
        <v>0</v>
      </c>
      <c r="AR57">
        <v>0</v>
      </c>
      <c r="AS57">
        <v>0</v>
      </c>
      <c r="AT57">
        <v>0</v>
      </c>
    </row>
    <row r="58" spans="1:46" x14ac:dyDescent="0.25">
      <c r="A58" s="3" t="s">
        <v>225</v>
      </c>
      <c r="B58" t="s">
        <v>339</v>
      </c>
      <c r="C58" s="2">
        <v>44764</v>
      </c>
      <c r="D58">
        <v>54</v>
      </c>
      <c r="E58">
        <v>100</v>
      </c>
      <c r="F58">
        <v>0</v>
      </c>
      <c r="G58" s="1">
        <v>14261</v>
      </c>
      <c r="H58">
        <v>264.08999999999997</v>
      </c>
      <c r="I58">
        <v>44.38</v>
      </c>
      <c r="J58">
        <v>321</v>
      </c>
      <c r="K58">
        <v>5.95</v>
      </c>
      <c r="L58" s="1"/>
      <c r="M58">
        <v>56.9</v>
      </c>
      <c r="N58" s="1">
        <v>565</v>
      </c>
      <c r="O58">
        <v>20</v>
      </c>
      <c r="P58">
        <v>51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54</v>
      </c>
      <c r="AE58">
        <v>100</v>
      </c>
      <c r="AF58">
        <v>0</v>
      </c>
      <c r="AG58" s="1">
        <v>14261</v>
      </c>
      <c r="AH58">
        <v>264.08999999999997</v>
      </c>
      <c r="AI58">
        <v>44.38</v>
      </c>
      <c r="AJ58">
        <v>321</v>
      </c>
      <c r="AK58">
        <v>5.95</v>
      </c>
      <c r="AL58" s="1">
        <v>818</v>
      </c>
      <c r="AM58">
        <v>56.8</v>
      </c>
      <c r="AN58" s="1">
        <v>565</v>
      </c>
      <c r="AO58">
        <v>20</v>
      </c>
      <c r="AP58">
        <v>51</v>
      </c>
      <c r="AQ58" s="1">
        <v>681</v>
      </c>
      <c r="AR58">
        <v>109</v>
      </c>
      <c r="AS58">
        <v>160</v>
      </c>
      <c r="AT58">
        <v>0</v>
      </c>
    </row>
    <row r="59" spans="1:46" x14ac:dyDescent="0.25">
      <c r="A59" s="3" t="s">
        <v>235</v>
      </c>
      <c r="B59" t="s">
        <v>152</v>
      </c>
      <c r="C59" s="2">
        <v>44764</v>
      </c>
      <c r="D59">
        <v>111</v>
      </c>
      <c r="E59">
        <v>100</v>
      </c>
      <c r="F59">
        <v>0</v>
      </c>
      <c r="G59" s="1">
        <v>31388</v>
      </c>
      <c r="H59">
        <v>282.77</v>
      </c>
      <c r="I59">
        <v>59.04</v>
      </c>
      <c r="J59" s="1">
        <v>531</v>
      </c>
      <c r="K59">
        <v>4.79</v>
      </c>
      <c r="L59" s="1"/>
      <c r="M59">
        <v>44</v>
      </c>
      <c r="N59" s="1">
        <v>1209</v>
      </c>
      <c r="O59">
        <v>43</v>
      </c>
      <c r="P59">
        <v>111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111</v>
      </c>
      <c r="AE59">
        <v>100</v>
      </c>
      <c r="AF59">
        <v>0</v>
      </c>
      <c r="AG59" s="1">
        <v>31388</v>
      </c>
      <c r="AH59">
        <v>282.77</v>
      </c>
      <c r="AI59">
        <v>59.04</v>
      </c>
      <c r="AJ59" s="1">
        <v>531</v>
      </c>
      <c r="AK59">
        <v>4.79</v>
      </c>
      <c r="AL59" s="1">
        <v>838</v>
      </c>
      <c r="AM59">
        <v>43.9</v>
      </c>
      <c r="AN59" s="1">
        <v>1209</v>
      </c>
      <c r="AO59">
        <v>43</v>
      </c>
      <c r="AP59">
        <v>111</v>
      </c>
      <c r="AQ59" s="1">
        <v>262</v>
      </c>
      <c r="AR59">
        <v>0</v>
      </c>
      <c r="AS59">
        <v>0</v>
      </c>
      <c r="AT59">
        <v>0</v>
      </c>
    </row>
    <row r="60" spans="1:46" x14ac:dyDescent="0.25">
      <c r="A60" s="3" t="s">
        <v>239</v>
      </c>
      <c r="B60" t="s">
        <v>340</v>
      </c>
      <c r="C60" s="2">
        <v>44764</v>
      </c>
      <c r="D60">
        <v>393</v>
      </c>
      <c r="E60">
        <v>99.7</v>
      </c>
      <c r="F60">
        <v>0.3</v>
      </c>
      <c r="G60" s="1">
        <v>200115</v>
      </c>
      <c r="H60">
        <v>509.2</v>
      </c>
      <c r="I60">
        <v>33.19</v>
      </c>
      <c r="J60" s="1">
        <v>6029</v>
      </c>
      <c r="K60">
        <v>15.34</v>
      </c>
      <c r="L60" s="1"/>
      <c r="M60">
        <v>78.3</v>
      </c>
      <c r="N60" s="1">
        <v>7698</v>
      </c>
      <c r="O60">
        <v>275</v>
      </c>
      <c r="P60">
        <v>348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 s="1">
        <v>0</v>
      </c>
      <c r="Z60">
        <v>0</v>
      </c>
      <c r="AA60">
        <v>1</v>
      </c>
      <c r="AB60">
        <v>0</v>
      </c>
      <c r="AC60">
        <v>0</v>
      </c>
      <c r="AD60">
        <v>393</v>
      </c>
      <c r="AE60">
        <v>99.7</v>
      </c>
      <c r="AF60">
        <v>0.3</v>
      </c>
      <c r="AG60" s="1">
        <v>200115</v>
      </c>
      <c r="AH60">
        <v>509.2</v>
      </c>
      <c r="AI60">
        <v>33.19</v>
      </c>
      <c r="AJ60" s="1">
        <v>6029</v>
      </c>
      <c r="AK60">
        <v>15.34</v>
      </c>
      <c r="AL60" s="1">
        <v>836</v>
      </c>
      <c r="AM60">
        <v>78.3</v>
      </c>
      <c r="AN60" s="1">
        <v>7699</v>
      </c>
      <c r="AO60">
        <v>275</v>
      </c>
      <c r="AP60">
        <v>348</v>
      </c>
      <c r="AQ60" s="1">
        <v>4564</v>
      </c>
      <c r="AR60">
        <v>186</v>
      </c>
      <c r="AS60" s="1">
        <v>150</v>
      </c>
      <c r="AT60">
        <v>0</v>
      </c>
    </row>
    <row r="61" spans="1:46" x14ac:dyDescent="0.25">
      <c r="A61" s="3" t="s">
        <v>250</v>
      </c>
      <c r="B61" t="s">
        <v>141</v>
      </c>
      <c r="C61" s="2">
        <v>44764</v>
      </c>
      <c r="D61">
        <v>0</v>
      </c>
      <c r="E61">
        <v>0</v>
      </c>
      <c r="F61">
        <v>0</v>
      </c>
      <c r="G61" s="1">
        <v>0</v>
      </c>
      <c r="H61">
        <v>0</v>
      </c>
      <c r="I61">
        <v>0</v>
      </c>
      <c r="J61" s="1">
        <v>0</v>
      </c>
      <c r="K61">
        <v>0</v>
      </c>
      <c r="L61">
        <v>0</v>
      </c>
      <c r="M61">
        <v>0</v>
      </c>
      <c r="N61" s="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 s="1">
        <v>0</v>
      </c>
      <c r="AH61">
        <v>0</v>
      </c>
      <c r="AI61">
        <v>0</v>
      </c>
      <c r="AJ61" s="1">
        <v>0</v>
      </c>
      <c r="AK61">
        <v>0</v>
      </c>
      <c r="AL61">
        <v>0</v>
      </c>
      <c r="AM61">
        <v>0</v>
      </c>
      <c r="AN61" s="1">
        <v>0</v>
      </c>
      <c r="AO61">
        <v>0</v>
      </c>
      <c r="AP61">
        <v>0</v>
      </c>
      <c r="AQ61" s="1">
        <v>0</v>
      </c>
      <c r="AR61">
        <v>0</v>
      </c>
      <c r="AS61">
        <v>0</v>
      </c>
      <c r="AT61">
        <v>0</v>
      </c>
    </row>
    <row r="62" spans="1:46" x14ac:dyDescent="0.25">
      <c r="A62" s="3" t="s">
        <v>238</v>
      </c>
      <c r="B62" t="s">
        <v>341</v>
      </c>
      <c r="C62" s="2">
        <v>44764</v>
      </c>
      <c r="D62">
        <v>474</v>
      </c>
      <c r="E62">
        <v>100</v>
      </c>
      <c r="F62">
        <v>0</v>
      </c>
      <c r="G62" s="1">
        <v>141220</v>
      </c>
      <c r="H62">
        <v>297.93</v>
      </c>
      <c r="I62">
        <v>42.96</v>
      </c>
      <c r="J62" s="1">
        <v>3287</v>
      </c>
      <c r="K62">
        <v>6.94</v>
      </c>
      <c r="L62" s="1"/>
      <c r="M62">
        <v>80.599999999999994</v>
      </c>
      <c r="N62" s="1">
        <v>4081</v>
      </c>
      <c r="O62">
        <v>146</v>
      </c>
      <c r="P62">
        <v>455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474</v>
      </c>
      <c r="AE62">
        <v>100</v>
      </c>
      <c r="AF62">
        <v>0</v>
      </c>
      <c r="AG62" s="1">
        <v>141220</v>
      </c>
      <c r="AH62">
        <v>297.93</v>
      </c>
      <c r="AI62">
        <v>42.96</v>
      </c>
      <c r="AJ62" s="1">
        <v>3287</v>
      </c>
      <c r="AK62">
        <v>6.94</v>
      </c>
      <c r="AL62" s="1">
        <v>1110</v>
      </c>
      <c r="AM62">
        <v>80.5</v>
      </c>
      <c r="AN62" s="1">
        <v>4081</v>
      </c>
      <c r="AO62">
        <v>146</v>
      </c>
      <c r="AP62">
        <v>455</v>
      </c>
      <c r="AQ62" s="1">
        <v>2521</v>
      </c>
      <c r="AR62">
        <v>0</v>
      </c>
      <c r="AS62" s="1">
        <v>0</v>
      </c>
      <c r="AT62">
        <v>0</v>
      </c>
    </row>
    <row r="63" spans="1:46" x14ac:dyDescent="0.25">
      <c r="A63" s="3" t="s">
        <v>229</v>
      </c>
      <c r="B63" t="s">
        <v>376</v>
      </c>
      <c r="C63" s="2">
        <v>44764</v>
      </c>
      <c r="D63">
        <v>15</v>
      </c>
      <c r="E63">
        <v>100</v>
      </c>
      <c r="F63">
        <v>0</v>
      </c>
      <c r="G63" s="1">
        <v>5675</v>
      </c>
      <c r="H63">
        <v>378.33</v>
      </c>
      <c r="I63">
        <v>61.31</v>
      </c>
      <c r="J63" s="1">
        <v>92</v>
      </c>
      <c r="K63">
        <v>6.17</v>
      </c>
      <c r="L63" s="1"/>
      <c r="M63">
        <v>49.2</v>
      </c>
      <c r="N63" s="1">
        <v>188</v>
      </c>
      <c r="O63">
        <v>7</v>
      </c>
      <c r="P63">
        <v>12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 s="1">
        <v>0</v>
      </c>
      <c r="Z63">
        <v>0</v>
      </c>
      <c r="AA63">
        <v>0</v>
      </c>
      <c r="AB63">
        <v>0</v>
      </c>
      <c r="AC63">
        <v>0</v>
      </c>
      <c r="AD63">
        <v>15</v>
      </c>
      <c r="AE63">
        <v>100</v>
      </c>
      <c r="AF63">
        <v>0</v>
      </c>
      <c r="AG63" s="1">
        <v>5675</v>
      </c>
      <c r="AH63">
        <v>378.33</v>
      </c>
      <c r="AI63">
        <v>61.31</v>
      </c>
      <c r="AJ63" s="1">
        <v>92</v>
      </c>
      <c r="AK63">
        <v>6.17</v>
      </c>
      <c r="AL63" s="1">
        <v>930</v>
      </c>
      <c r="AM63">
        <v>49.2</v>
      </c>
      <c r="AN63" s="1">
        <v>188</v>
      </c>
      <c r="AO63">
        <v>7</v>
      </c>
      <c r="AP63">
        <v>12</v>
      </c>
      <c r="AQ63" s="1">
        <v>310</v>
      </c>
      <c r="AR63">
        <v>0</v>
      </c>
      <c r="AS63">
        <v>5</v>
      </c>
      <c r="AT63">
        <v>0</v>
      </c>
    </row>
    <row r="64" spans="1:46" x14ac:dyDescent="0.25">
      <c r="A64" s="3" t="s">
        <v>228</v>
      </c>
      <c r="B64" t="s">
        <v>342</v>
      </c>
      <c r="C64" s="2">
        <v>44764</v>
      </c>
      <c r="D64">
        <v>347</v>
      </c>
      <c r="E64">
        <v>100</v>
      </c>
      <c r="F64">
        <v>0</v>
      </c>
      <c r="G64" s="1">
        <v>149856</v>
      </c>
      <c r="H64">
        <v>431.86</v>
      </c>
      <c r="I64">
        <v>23.85</v>
      </c>
      <c r="J64" s="1">
        <v>6282</v>
      </c>
      <c r="K64">
        <v>18.11</v>
      </c>
      <c r="L64" s="1"/>
      <c r="M64">
        <v>90.1</v>
      </c>
      <c r="N64" s="1">
        <v>6973</v>
      </c>
      <c r="O64">
        <v>249</v>
      </c>
      <c r="P64">
        <v>336</v>
      </c>
      <c r="Q64">
        <v>1</v>
      </c>
      <c r="R64">
        <v>100</v>
      </c>
      <c r="S64">
        <v>0</v>
      </c>
      <c r="T64" s="1">
        <v>403</v>
      </c>
      <c r="U64" s="31">
        <v>403</v>
      </c>
      <c r="V64">
        <v>13.43</v>
      </c>
      <c r="W64">
        <v>30</v>
      </c>
      <c r="X64">
        <v>30</v>
      </c>
      <c r="Y64" s="1">
        <v>465</v>
      </c>
      <c r="Z64">
        <v>214.3</v>
      </c>
      <c r="AA64">
        <v>14</v>
      </c>
      <c r="AB64">
        <v>1</v>
      </c>
      <c r="AC64">
        <v>1</v>
      </c>
      <c r="AD64">
        <v>348</v>
      </c>
      <c r="AE64">
        <v>100</v>
      </c>
      <c r="AF64">
        <v>0</v>
      </c>
      <c r="AG64" s="1">
        <v>150259</v>
      </c>
      <c r="AH64">
        <v>431.78</v>
      </c>
      <c r="AI64">
        <v>23.8</v>
      </c>
      <c r="AJ64" s="1">
        <v>6312</v>
      </c>
      <c r="AK64">
        <v>18.14</v>
      </c>
      <c r="AL64" s="1">
        <v>690</v>
      </c>
      <c r="AM64">
        <v>90.3</v>
      </c>
      <c r="AN64" s="1">
        <v>6987</v>
      </c>
      <c r="AO64">
        <v>250</v>
      </c>
      <c r="AP64">
        <v>337</v>
      </c>
      <c r="AQ64" s="1">
        <v>2636</v>
      </c>
      <c r="AR64">
        <v>23</v>
      </c>
      <c r="AS64" s="1">
        <v>105</v>
      </c>
      <c r="AT64">
        <v>0</v>
      </c>
    </row>
    <row r="65" spans="1:46" x14ac:dyDescent="0.25">
      <c r="A65" s="3" t="s">
        <v>218</v>
      </c>
      <c r="B65" t="s">
        <v>343</v>
      </c>
      <c r="C65" s="2">
        <v>44764</v>
      </c>
      <c r="D65">
        <v>44</v>
      </c>
      <c r="E65">
        <v>100</v>
      </c>
      <c r="F65">
        <v>0</v>
      </c>
      <c r="G65" s="1">
        <v>9466</v>
      </c>
      <c r="H65">
        <v>215.14</v>
      </c>
      <c r="I65">
        <v>44.35</v>
      </c>
      <c r="J65" s="1">
        <v>213</v>
      </c>
      <c r="K65">
        <v>4.8499999999999996</v>
      </c>
      <c r="L65" s="1"/>
      <c r="M65">
        <v>57.1</v>
      </c>
      <c r="N65" s="1">
        <v>374</v>
      </c>
      <c r="O65">
        <v>13</v>
      </c>
      <c r="P65">
        <v>39</v>
      </c>
      <c r="Q65">
        <v>0</v>
      </c>
      <c r="R65">
        <v>0</v>
      </c>
      <c r="S65">
        <v>0</v>
      </c>
      <c r="T65" s="1">
        <v>0</v>
      </c>
      <c r="U65" s="31">
        <v>0</v>
      </c>
      <c r="V65">
        <v>0</v>
      </c>
      <c r="W65">
        <v>0</v>
      </c>
      <c r="X65">
        <v>0</v>
      </c>
      <c r="Y65" s="1">
        <v>0</v>
      </c>
      <c r="Z65">
        <v>0</v>
      </c>
      <c r="AA65">
        <v>0</v>
      </c>
      <c r="AB65">
        <v>0</v>
      </c>
      <c r="AC65">
        <v>0</v>
      </c>
      <c r="AD65">
        <v>44</v>
      </c>
      <c r="AE65">
        <v>100</v>
      </c>
      <c r="AF65">
        <v>0</v>
      </c>
      <c r="AG65" s="1">
        <v>9466</v>
      </c>
      <c r="AH65">
        <v>215.14</v>
      </c>
      <c r="AI65">
        <v>44.35</v>
      </c>
      <c r="AJ65" s="1">
        <v>213</v>
      </c>
      <c r="AK65">
        <v>4.8499999999999996</v>
      </c>
      <c r="AL65" s="1">
        <v>837</v>
      </c>
      <c r="AM65">
        <v>57</v>
      </c>
      <c r="AN65" s="1">
        <v>374</v>
      </c>
      <c r="AO65">
        <v>13</v>
      </c>
      <c r="AP65">
        <v>39</v>
      </c>
      <c r="AQ65">
        <v>447</v>
      </c>
      <c r="AR65">
        <v>0</v>
      </c>
      <c r="AS65" s="1">
        <v>75</v>
      </c>
      <c r="AT65">
        <v>0</v>
      </c>
    </row>
    <row r="66" spans="1:46" x14ac:dyDescent="0.25">
      <c r="A66" s="3" t="s">
        <v>232</v>
      </c>
      <c r="B66" t="s">
        <v>344</v>
      </c>
      <c r="C66" s="2">
        <v>44764</v>
      </c>
      <c r="D66">
        <v>90</v>
      </c>
      <c r="E66">
        <v>100</v>
      </c>
      <c r="F66">
        <v>0</v>
      </c>
      <c r="G66" s="1">
        <v>34633</v>
      </c>
      <c r="H66">
        <v>384.81</v>
      </c>
      <c r="I66">
        <v>43.45</v>
      </c>
      <c r="J66" s="1">
        <v>797</v>
      </c>
      <c r="K66">
        <v>8.86</v>
      </c>
      <c r="L66" s="1"/>
      <c r="M66">
        <v>48.3</v>
      </c>
      <c r="N66" s="1">
        <v>1650</v>
      </c>
      <c r="O66">
        <v>59</v>
      </c>
      <c r="P66">
        <v>83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90</v>
      </c>
      <c r="AE66">
        <v>100</v>
      </c>
      <c r="AF66">
        <v>0</v>
      </c>
      <c r="AG66" s="1">
        <v>34633</v>
      </c>
      <c r="AH66">
        <v>384.81</v>
      </c>
      <c r="AI66">
        <v>43.45</v>
      </c>
      <c r="AJ66" s="1">
        <v>797</v>
      </c>
      <c r="AK66">
        <v>8.86</v>
      </c>
      <c r="AL66" s="1">
        <v>674</v>
      </c>
      <c r="AM66">
        <v>48.3</v>
      </c>
      <c r="AN66" s="1">
        <v>1650</v>
      </c>
      <c r="AO66">
        <v>59</v>
      </c>
      <c r="AP66">
        <v>83</v>
      </c>
      <c r="AQ66" s="1">
        <v>1215</v>
      </c>
      <c r="AR66">
        <v>0</v>
      </c>
      <c r="AS66" s="1">
        <v>225</v>
      </c>
      <c r="AT66">
        <v>0</v>
      </c>
    </row>
    <row r="67" spans="1:46" x14ac:dyDescent="0.25">
      <c r="A67" s="3" t="s">
        <v>233</v>
      </c>
      <c r="B67" t="s">
        <v>150</v>
      </c>
      <c r="C67" s="2">
        <v>44764</v>
      </c>
      <c r="D67">
        <v>0</v>
      </c>
      <c r="E67">
        <v>0</v>
      </c>
      <c r="F67">
        <v>0</v>
      </c>
      <c r="G67" s="1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 s="1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 s="1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 s="1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</row>
    <row r="68" spans="1:46" x14ac:dyDescent="0.25">
      <c r="A68" s="3" t="s">
        <v>224</v>
      </c>
      <c r="B68" t="s">
        <v>140</v>
      </c>
      <c r="C68" s="2">
        <v>44764</v>
      </c>
      <c r="D68">
        <v>0</v>
      </c>
      <c r="E68">
        <v>0</v>
      </c>
      <c r="F68">
        <v>0</v>
      </c>
      <c r="G68" s="1">
        <v>0</v>
      </c>
      <c r="H68">
        <v>0</v>
      </c>
      <c r="I68">
        <v>0</v>
      </c>
      <c r="J68">
        <v>0</v>
      </c>
      <c r="K68">
        <v>0</v>
      </c>
      <c r="L68" s="1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 s="1">
        <v>0</v>
      </c>
      <c r="AH68">
        <v>0</v>
      </c>
      <c r="AI68">
        <v>0</v>
      </c>
      <c r="AJ68">
        <v>0</v>
      </c>
      <c r="AK68">
        <v>0</v>
      </c>
      <c r="AL68" s="1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</row>
    <row r="69" spans="1:46" x14ac:dyDescent="0.25">
      <c r="A69" s="3" t="s">
        <v>221</v>
      </c>
      <c r="B69" t="s">
        <v>345</v>
      </c>
      <c r="C69" s="2">
        <v>44764</v>
      </c>
      <c r="D69">
        <v>46</v>
      </c>
      <c r="E69">
        <v>100</v>
      </c>
      <c r="F69">
        <v>0</v>
      </c>
      <c r="G69" s="1">
        <v>17791</v>
      </c>
      <c r="H69" s="31">
        <v>386.76</v>
      </c>
      <c r="I69">
        <v>29.12</v>
      </c>
      <c r="J69" s="1">
        <v>611</v>
      </c>
      <c r="K69">
        <v>13.28</v>
      </c>
      <c r="L69" s="1"/>
      <c r="M69">
        <v>72.7</v>
      </c>
      <c r="N69" s="1">
        <v>841</v>
      </c>
      <c r="O69">
        <v>30</v>
      </c>
      <c r="P69">
        <v>51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46</v>
      </c>
      <c r="AE69">
        <v>100</v>
      </c>
      <c r="AF69">
        <v>0</v>
      </c>
      <c r="AG69" s="1">
        <v>17791</v>
      </c>
      <c r="AH69" s="31">
        <v>386.76</v>
      </c>
      <c r="AI69">
        <v>29.12</v>
      </c>
      <c r="AJ69" s="1">
        <v>611</v>
      </c>
      <c r="AK69">
        <v>13.28</v>
      </c>
      <c r="AL69" s="1">
        <v>681</v>
      </c>
      <c r="AM69">
        <v>72.599999999999994</v>
      </c>
      <c r="AN69" s="1">
        <v>841</v>
      </c>
      <c r="AO69">
        <v>30</v>
      </c>
      <c r="AP69">
        <v>51</v>
      </c>
      <c r="AQ69" s="1">
        <v>602</v>
      </c>
      <c r="AR69">
        <v>0</v>
      </c>
      <c r="AS69">
        <v>0</v>
      </c>
      <c r="AT69">
        <v>0</v>
      </c>
    </row>
    <row r="70" spans="1:46" x14ac:dyDescent="0.25">
      <c r="A70" s="3" t="s">
        <v>237</v>
      </c>
      <c r="B70" t="s">
        <v>377</v>
      </c>
      <c r="C70" s="2">
        <v>44764</v>
      </c>
      <c r="D70">
        <v>5</v>
      </c>
      <c r="E70">
        <v>100</v>
      </c>
      <c r="F70">
        <v>0</v>
      </c>
      <c r="G70" s="1">
        <v>2603</v>
      </c>
      <c r="H70" s="31">
        <v>520.6</v>
      </c>
      <c r="I70">
        <v>22.45</v>
      </c>
      <c r="J70" s="1">
        <v>115</v>
      </c>
      <c r="K70">
        <v>23.19</v>
      </c>
      <c r="L70" s="1"/>
      <c r="M70">
        <v>122.1</v>
      </c>
      <c r="N70" s="1">
        <v>95</v>
      </c>
      <c r="O70">
        <v>3</v>
      </c>
      <c r="P70">
        <v>3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5</v>
      </c>
      <c r="AE70">
        <v>100</v>
      </c>
      <c r="AF70">
        <v>0</v>
      </c>
      <c r="AG70" s="1">
        <v>2603</v>
      </c>
      <c r="AH70" s="31">
        <v>520.6</v>
      </c>
      <c r="AI70">
        <v>22.45</v>
      </c>
      <c r="AJ70" s="1">
        <v>115</v>
      </c>
      <c r="AK70">
        <v>23.19</v>
      </c>
      <c r="AL70" s="1">
        <v>992</v>
      </c>
      <c r="AM70">
        <v>122</v>
      </c>
      <c r="AN70" s="1">
        <v>95</v>
      </c>
      <c r="AO70">
        <v>3</v>
      </c>
      <c r="AP70">
        <v>3</v>
      </c>
      <c r="AQ70" s="1">
        <v>0</v>
      </c>
      <c r="AR70">
        <v>0</v>
      </c>
      <c r="AS70">
        <v>0</v>
      </c>
      <c r="AT70">
        <v>0</v>
      </c>
    </row>
    <row r="71" spans="1:46" x14ac:dyDescent="0.25">
      <c r="A71" s="3" t="s">
        <v>242</v>
      </c>
      <c r="B71" t="s">
        <v>346</v>
      </c>
      <c r="C71" s="2">
        <v>44764</v>
      </c>
      <c r="D71">
        <v>5</v>
      </c>
      <c r="E71">
        <v>100</v>
      </c>
      <c r="F71">
        <v>0</v>
      </c>
      <c r="G71" s="1">
        <v>1549</v>
      </c>
      <c r="H71" s="31">
        <v>309.8</v>
      </c>
      <c r="I71">
        <v>43.76</v>
      </c>
      <c r="J71" s="1">
        <v>35</v>
      </c>
      <c r="K71">
        <v>7.08</v>
      </c>
      <c r="L71" s="1"/>
      <c r="M71">
        <v>43.2</v>
      </c>
      <c r="N71" s="1">
        <v>82</v>
      </c>
      <c r="O71">
        <v>3</v>
      </c>
      <c r="P71">
        <v>5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5</v>
      </c>
      <c r="AE71">
        <v>100</v>
      </c>
      <c r="AF71">
        <v>0</v>
      </c>
      <c r="AG71" s="1">
        <v>1549</v>
      </c>
      <c r="AH71" s="31">
        <v>309.8</v>
      </c>
      <c r="AI71">
        <v>43.76</v>
      </c>
      <c r="AJ71" s="1">
        <v>35</v>
      </c>
      <c r="AK71">
        <v>7.08</v>
      </c>
      <c r="AL71" s="1">
        <v>589</v>
      </c>
      <c r="AM71">
        <v>43.1</v>
      </c>
      <c r="AN71" s="1">
        <v>82</v>
      </c>
      <c r="AO71">
        <v>3</v>
      </c>
      <c r="AP71">
        <v>5</v>
      </c>
      <c r="AQ71">
        <v>0</v>
      </c>
      <c r="AR71">
        <v>0</v>
      </c>
      <c r="AS71">
        <v>0</v>
      </c>
      <c r="AT71">
        <v>0</v>
      </c>
    </row>
    <row r="72" spans="1:46" x14ac:dyDescent="0.25">
      <c r="A72" s="3" t="s">
        <v>230</v>
      </c>
      <c r="B72" t="s">
        <v>347</v>
      </c>
      <c r="C72" s="2">
        <v>44764</v>
      </c>
      <c r="D72">
        <v>38</v>
      </c>
      <c r="E72">
        <v>100</v>
      </c>
      <c r="F72">
        <v>0</v>
      </c>
      <c r="G72" s="1">
        <v>12907</v>
      </c>
      <c r="H72">
        <v>339.66</v>
      </c>
      <c r="I72">
        <v>34.22</v>
      </c>
      <c r="J72" s="1">
        <v>377</v>
      </c>
      <c r="K72">
        <v>9.93</v>
      </c>
      <c r="L72" s="1"/>
      <c r="M72">
        <v>75.400000000000006</v>
      </c>
      <c r="N72" s="1">
        <v>500</v>
      </c>
      <c r="O72">
        <v>18</v>
      </c>
      <c r="P72">
        <v>34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38</v>
      </c>
      <c r="AE72">
        <v>100</v>
      </c>
      <c r="AF72">
        <v>0</v>
      </c>
      <c r="AG72" s="1">
        <v>12907</v>
      </c>
      <c r="AH72">
        <v>339.66</v>
      </c>
      <c r="AI72">
        <v>34.22</v>
      </c>
      <c r="AJ72" s="1">
        <v>377</v>
      </c>
      <c r="AK72">
        <v>9.93</v>
      </c>
      <c r="AL72" s="1">
        <v>823</v>
      </c>
      <c r="AM72">
        <v>75.400000000000006</v>
      </c>
      <c r="AN72" s="1">
        <v>500</v>
      </c>
      <c r="AO72">
        <v>18</v>
      </c>
      <c r="AP72">
        <v>34</v>
      </c>
      <c r="AQ72" s="1">
        <v>87</v>
      </c>
      <c r="AR72">
        <v>0</v>
      </c>
      <c r="AS72" s="1">
        <v>0</v>
      </c>
      <c r="AT72">
        <v>0</v>
      </c>
    </row>
    <row r="73" spans="1:46" x14ac:dyDescent="0.25">
      <c r="A73" s="3" t="s">
        <v>227</v>
      </c>
      <c r="B73" t="s">
        <v>348</v>
      </c>
      <c r="C73" s="2">
        <v>44764</v>
      </c>
      <c r="D73">
        <v>6</v>
      </c>
      <c r="E73">
        <v>100</v>
      </c>
      <c r="F73">
        <v>0</v>
      </c>
      <c r="G73" s="1">
        <v>1015</v>
      </c>
      <c r="H73">
        <v>169.17</v>
      </c>
      <c r="I73">
        <v>41.68</v>
      </c>
      <c r="J73">
        <v>24</v>
      </c>
      <c r="K73">
        <v>4.0599999999999996</v>
      </c>
      <c r="L73" s="1"/>
      <c r="M73">
        <v>19.600000000000001</v>
      </c>
      <c r="N73">
        <v>124</v>
      </c>
      <c r="O73">
        <v>4</v>
      </c>
      <c r="P73">
        <v>5</v>
      </c>
      <c r="Q73">
        <v>0</v>
      </c>
      <c r="R73">
        <v>0</v>
      </c>
      <c r="S73">
        <v>0</v>
      </c>
      <c r="T73" s="1">
        <v>0</v>
      </c>
      <c r="U73" s="31">
        <v>0</v>
      </c>
      <c r="V73">
        <v>0</v>
      </c>
      <c r="W73">
        <v>0</v>
      </c>
      <c r="X73">
        <v>0</v>
      </c>
      <c r="Y73" s="1">
        <v>0</v>
      </c>
      <c r="Z73">
        <v>0</v>
      </c>
      <c r="AA73">
        <v>0</v>
      </c>
      <c r="AB73">
        <v>0</v>
      </c>
      <c r="AC73">
        <v>0</v>
      </c>
      <c r="AD73">
        <v>6</v>
      </c>
      <c r="AE73">
        <v>100</v>
      </c>
      <c r="AF73">
        <v>0</v>
      </c>
      <c r="AG73" s="1">
        <v>1015</v>
      </c>
      <c r="AH73">
        <v>169.17</v>
      </c>
      <c r="AI73">
        <v>41.68</v>
      </c>
      <c r="AJ73">
        <v>24</v>
      </c>
      <c r="AK73">
        <v>4.0599999999999996</v>
      </c>
      <c r="AL73" s="1">
        <v>295</v>
      </c>
      <c r="AM73">
        <v>19.600000000000001</v>
      </c>
      <c r="AN73">
        <v>124</v>
      </c>
      <c r="AO73">
        <v>4</v>
      </c>
      <c r="AP73">
        <v>5</v>
      </c>
      <c r="AQ73">
        <v>0</v>
      </c>
      <c r="AR73">
        <v>0</v>
      </c>
      <c r="AS73">
        <v>0</v>
      </c>
      <c r="AT73">
        <v>0</v>
      </c>
    </row>
    <row r="74" spans="1:46" x14ac:dyDescent="0.25">
      <c r="A74" s="3" t="s">
        <v>219</v>
      </c>
      <c r="B74" t="s">
        <v>349</v>
      </c>
      <c r="C74" s="2">
        <v>44764</v>
      </c>
      <c r="D74">
        <v>21</v>
      </c>
      <c r="E74">
        <v>100</v>
      </c>
      <c r="F74">
        <v>0</v>
      </c>
      <c r="G74" s="1">
        <v>5135</v>
      </c>
      <c r="H74" s="31">
        <v>244.52</v>
      </c>
      <c r="I74">
        <v>41.06</v>
      </c>
      <c r="J74" s="1">
        <v>125</v>
      </c>
      <c r="K74">
        <v>5.95</v>
      </c>
      <c r="L74" s="1"/>
      <c r="M74">
        <v>27.4</v>
      </c>
      <c r="N74" s="1">
        <v>456</v>
      </c>
      <c r="O74">
        <v>16</v>
      </c>
      <c r="P74">
        <v>28</v>
      </c>
      <c r="Q74">
        <v>0</v>
      </c>
      <c r="R74">
        <v>0</v>
      </c>
      <c r="S74">
        <v>0</v>
      </c>
      <c r="T74" s="1">
        <v>0</v>
      </c>
      <c r="U74" s="31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21</v>
      </c>
      <c r="AE74">
        <v>100</v>
      </c>
      <c r="AF74">
        <v>0</v>
      </c>
      <c r="AG74" s="1">
        <v>5135</v>
      </c>
      <c r="AH74" s="31">
        <v>244.52</v>
      </c>
      <c r="AI74">
        <v>41.06</v>
      </c>
      <c r="AJ74" s="1">
        <v>125</v>
      </c>
      <c r="AK74">
        <v>5.95</v>
      </c>
      <c r="AL74" s="1">
        <v>368</v>
      </c>
      <c r="AM74">
        <v>27.4</v>
      </c>
      <c r="AN74" s="1">
        <v>456</v>
      </c>
      <c r="AO74">
        <v>16</v>
      </c>
      <c r="AP74">
        <v>28</v>
      </c>
      <c r="AQ74" s="1">
        <v>33</v>
      </c>
      <c r="AR74">
        <v>0</v>
      </c>
      <c r="AS74" s="1">
        <v>230</v>
      </c>
      <c r="AT74" s="1">
        <v>0</v>
      </c>
    </row>
    <row r="75" spans="1:46" x14ac:dyDescent="0.25">
      <c r="A75" s="3" t="s">
        <v>220</v>
      </c>
      <c r="B75" t="s">
        <v>136</v>
      </c>
      <c r="C75" s="2">
        <v>44764</v>
      </c>
      <c r="D75">
        <v>0</v>
      </c>
      <c r="E75">
        <v>0</v>
      </c>
      <c r="F75">
        <v>0</v>
      </c>
      <c r="G75" s="1">
        <v>0</v>
      </c>
      <c r="H75">
        <v>0</v>
      </c>
      <c r="I75">
        <v>0</v>
      </c>
      <c r="J75" s="1">
        <v>0</v>
      </c>
      <c r="K75">
        <v>0</v>
      </c>
      <c r="L75" s="1">
        <v>0</v>
      </c>
      <c r="M75">
        <v>0</v>
      </c>
      <c r="N75" s="1">
        <v>0</v>
      </c>
      <c r="O75">
        <v>0</v>
      </c>
      <c r="P75">
        <v>0</v>
      </c>
      <c r="Q75">
        <v>0</v>
      </c>
      <c r="R75">
        <v>0</v>
      </c>
      <c r="S75">
        <v>0</v>
      </c>
      <c r="T75" s="1">
        <v>0</v>
      </c>
      <c r="U75">
        <v>0</v>
      </c>
      <c r="V75">
        <v>0</v>
      </c>
      <c r="W75">
        <v>0</v>
      </c>
      <c r="X75">
        <v>0</v>
      </c>
      <c r="Y75" s="1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 s="1">
        <v>0</v>
      </c>
      <c r="AH75">
        <v>0</v>
      </c>
      <c r="AI75">
        <v>0</v>
      </c>
      <c r="AJ75" s="1">
        <v>0</v>
      </c>
      <c r="AK75">
        <v>0</v>
      </c>
      <c r="AL75" s="1">
        <v>0</v>
      </c>
      <c r="AM75">
        <v>0</v>
      </c>
      <c r="AN75" s="1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</row>
    <row r="76" spans="1:46" x14ac:dyDescent="0.25">
      <c r="A76" s="3" t="s">
        <v>240</v>
      </c>
      <c r="B76" t="s">
        <v>350</v>
      </c>
      <c r="C76" s="2">
        <v>44764</v>
      </c>
      <c r="D76">
        <v>80</v>
      </c>
      <c r="E76">
        <v>98.7</v>
      </c>
      <c r="F76">
        <v>1.3</v>
      </c>
      <c r="G76" s="1">
        <v>32004</v>
      </c>
      <c r="H76">
        <v>400.05</v>
      </c>
      <c r="I76">
        <v>31.48</v>
      </c>
      <c r="J76" s="1">
        <v>1016</v>
      </c>
      <c r="K76">
        <v>12.71</v>
      </c>
      <c r="L76" s="1"/>
      <c r="M76">
        <v>70.8</v>
      </c>
      <c r="N76" s="1">
        <v>1436</v>
      </c>
      <c r="O76">
        <v>51</v>
      </c>
      <c r="P76">
        <v>77</v>
      </c>
      <c r="Q76">
        <v>0</v>
      </c>
      <c r="R76">
        <v>0</v>
      </c>
      <c r="S76">
        <v>0</v>
      </c>
      <c r="T76" s="1">
        <v>0</v>
      </c>
      <c r="U76" s="31">
        <v>0</v>
      </c>
      <c r="V76">
        <v>0</v>
      </c>
      <c r="W76">
        <v>0</v>
      </c>
      <c r="X76">
        <v>0</v>
      </c>
      <c r="Y76" s="1">
        <v>0</v>
      </c>
      <c r="Z76">
        <v>0</v>
      </c>
      <c r="AA76">
        <v>0</v>
      </c>
      <c r="AB76">
        <v>0</v>
      </c>
      <c r="AC76">
        <v>0</v>
      </c>
      <c r="AD76">
        <v>80</v>
      </c>
      <c r="AE76">
        <v>98.7</v>
      </c>
      <c r="AF76">
        <v>1.3</v>
      </c>
      <c r="AG76" s="1">
        <v>32004</v>
      </c>
      <c r="AH76" s="31">
        <v>400.05</v>
      </c>
      <c r="AI76">
        <v>31.48</v>
      </c>
      <c r="AJ76" s="1">
        <v>1016</v>
      </c>
      <c r="AK76">
        <v>12.71</v>
      </c>
      <c r="AL76" s="1">
        <v>720</v>
      </c>
      <c r="AM76">
        <v>70.8</v>
      </c>
      <c r="AN76" s="1">
        <v>1436</v>
      </c>
      <c r="AO76">
        <v>51</v>
      </c>
      <c r="AP76">
        <v>77</v>
      </c>
      <c r="AQ76">
        <v>513</v>
      </c>
      <c r="AR76">
        <v>0</v>
      </c>
      <c r="AS76">
        <v>0</v>
      </c>
      <c r="AT76">
        <v>152</v>
      </c>
    </row>
    <row r="77" spans="1:46" x14ac:dyDescent="0.25">
      <c r="A77" s="3" t="s">
        <v>241</v>
      </c>
      <c r="B77" t="s">
        <v>351</v>
      </c>
      <c r="C77" s="2">
        <v>44764</v>
      </c>
      <c r="D77">
        <v>62</v>
      </c>
      <c r="E77">
        <v>100</v>
      </c>
      <c r="F77">
        <v>0</v>
      </c>
      <c r="G77" s="1">
        <v>23757</v>
      </c>
      <c r="H77" s="31">
        <v>383.18</v>
      </c>
      <c r="I77">
        <v>29.29</v>
      </c>
      <c r="J77" s="1">
        <v>811</v>
      </c>
      <c r="K77">
        <v>13.08</v>
      </c>
      <c r="L77" s="1"/>
      <c r="M77">
        <v>50.3</v>
      </c>
      <c r="N77" s="1">
        <v>1612</v>
      </c>
      <c r="O77">
        <v>58</v>
      </c>
      <c r="P77">
        <v>59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62</v>
      </c>
      <c r="AE77">
        <v>100</v>
      </c>
      <c r="AF77">
        <v>0</v>
      </c>
      <c r="AG77" s="1">
        <v>23757</v>
      </c>
      <c r="AH77" s="31">
        <v>383.18</v>
      </c>
      <c r="AI77">
        <v>29.29</v>
      </c>
      <c r="AJ77" s="1">
        <v>811</v>
      </c>
      <c r="AK77">
        <v>13.08</v>
      </c>
      <c r="AL77" s="1">
        <v>470</v>
      </c>
      <c r="AM77">
        <v>50.3</v>
      </c>
      <c r="AN77" s="1">
        <v>1612</v>
      </c>
      <c r="AO77">
        <v>58</v>
      </c>
      <c r="AP77">
        <v>59</v>
      </c>
      <c r="AQ77">
        <v>261</v>
      </c>
      <c r="AR77">
        <v>34</v>
      </c>
      <c r="AS77">
        <v>200</v>
      </c>
      <c r="AT77" s="1">
        <v>0</v>
      </c>
    </row>
    <row r="78" spans="1:46" x14ac:dyDescent="0.25">
      <c r="A78" s="3" t="s">
        <v>236</v>
      </c>
      <c r="B78" t="s">
        <v>153</v>
      </c>
      <c r="C78" s="2">
        <v>44764</v>
      </c>
      <c r="D78">
        <v>0</v>
      </c>
      <c r="E78">
        <v>0</v>
      </c>
      <c r="F78">
        <v>0</v>
      </c>
      <c r="G78" s="1">
        <v>0</v>
      </c>
      <c r="H78">
        <v>0</v>
      </c>
      <c r="I78">
        <v>0</v>
      </c>
      <c r="J78">
        <v>0</v>
      </c>
      <c r="K78">
        <v>0</v>
      </c>
      <c r="L78" s="1">
        <v>0</v>
      </c>
      <c r="M78">
        <v>0</v>
      </c>
      <c r="N78" s="1">
        <v>0</v>
      </c>
      <c r="O78">
        <v>0</v>
      </c>
      <c r="P78">
        <v>0</v>
      </c>
      <c r="Q78">
        <v>0</v>
      </c>
      <c r="R78">
        <v>0</v>
      </c>
      <c r="S78">
        <v>0</v>
      </c>
      <c r="T78" s="1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 s="1">
        <v>0</v>
      </c>
      <c r="AH78">
        <v>0</v>
      </c>
      <c r="AI78">
        <v>0</v>
      </c>
      <c r="AJ78">
        <v>0</v>
      </c>
      <c r="AK78">
        <v>0</v>
      </c>
      <c r="AL78" s="1">
        <v>0</v>
      </c>
      <c r="AM78">
        <v>0</v>
      </c>
      <c r="AN78" s="1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</row>
    <row r="79" spans="1:46" x14ac:dyDescent="0.25">
      <c r="A79" s="3" t="s">
        <v>248</v>
      </c>
      <c r="B79" t="s">
        <v>352</v>
      </c>
      <c r="C79" s="2">
        <v>44764</v>
      </c>
      <c r="D79">
        <v>29</v>
      </c>
      <c r="E79">
        <v>100</v>
      </c>
      <c r="F79">
        <v>0</v>
      </c>
      <c r="G79" s="1">
        <v>8035</v>
      </c>
      <c r="H79">
        <v>277.07</v>
      </c>
      <c r="I79">
        <v>25.69</v>
      </c>
      <c r="J79" s="1">
        <v>312</v>
      </c>
      <c r="K79">
        <v>10.79</v>
      </c>
      <c r="L79" s="1"/>
      <c r="M79">
        <v>43.9</v>
      </c>
      <c r="N79" s="1">
        <v>712</v>
      </c>
      <c r="O79">
        <v>25</v>
      </c>
      <c r="P79">
        <v>31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29</v>
      </c>
      <c r="AE79">
        <v>100</v>
      </c>
      <c r="AF79">
        <v>0</v>
      </c>
      <c r="AG79" s="1">
        <v>8035</v>
      </c>
      <c r="AH79">
        <v>277.07</v>
      </c>
      <c r="AI79">
        <v>25.69</v>
      </c>
      <c r="AJ79" s="1">
        <v>312</v>
      </c>
      <c r="AK79">
        <v>10.79</v>
      </c>
      <c r="AL79" s="1">
        <v>370</v>
      </c>
      <c r="AM79">
        <v>43.9</v>
      </c>
      <c r="AN79" s="1">
        <v>712</v>
      </c>
      <c r="AO79">
        <v>25</v>
      </c>
      <c r="AP79">
        <v>31</v>
      </c>
      <c r="AQ79">
        <v>67</v>
      </c>
      <c r="AR79">
        <v>0</v>
      </c>
      <c r="AS79">
        <v>0</v>
      </c>
      <c r="AT79">
        <v>0</v>
      </c>
    </row>
    <row r="80" spans="1:46" x14ac:dyDescent="0.25">
      <c r="A80" s="3" t="s">
        <v>247</v>
      </c>
      <c r="B80" t="s">
        <v>353</v>
      </c>
      <c r="C80" s="2">
        <v>44764</v>
      </c>
      <c r="D80">
        <v>2</v>
      </c>
      <c r="E80">
        <v>100</v>
      </c>
      <c r="F80">
        <v>0</v>
      </c>
      <c r="G80" s="1">
        <v>1233</v>
      </c>
      <c r="H80">
        <v>616.5</v>
      </c>
      <c r="I80">
        <v>27.3</v>
      </c>
      <c r="J80" s="1">
        <v>45</v>
      </c>
      <c r="K80">
        <v>22.58</v>
      </c>
      <c r="L80" s="1"/>
      <c r="M80">
        <v>26.7</v>
      </c>
      <c r="N80" s="1">
        <v>169</v>
      </c>
      <c r="O80">
        <v>6</v>
      </c>
      <c r="P80">
        <v>2</v>
      </c>
      <c r="Q80">
        <v>0</v>
      </c>
      <c r="R80">
        <v>0</v>
      </c>
      <c r="S80">
        <v>0</v>
      </c>
      <c r="T80" s="1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2</v>
      </c>
      <c r="AE80">
        <v>100</v>
      </c>
      <c r="AF80">
        <v>0</v>
      </c>
      <c r="AG80" s="1">
        <v>1233</v>
      </c>
      <c r="AH80">
        <v>616.5</v>
      </c>
      <c r="AI80">
        <v>27.3</v>
      </c>
      <c r="AJ80" s="1">
        <v>45</v>
      </c>
      <c r="AK80">
        <v>22.58</v>
      </c>
      <c r="AL80" s="1">
        <v>238</v>
      </c>
      <c r="AM80">
        <v>26.7</v>
      </c>
      <c r="AN80" s="1">
        <v>169</v>
      </c>
      <c r="AO80">
        <v>6</v>
      </c>
      <c r="AP80">
        <v>2</v>
      </c>
      <c r="AQ80" s="1">
        <v>26</v>
      </c>
      <c r="AR80">
        <v>26</v>
      </c>
      <c r="AS80">
        <v>0</v>
      </c>
      <c r="AT80" s="1">
        <v>0</v>
      </c>
    </row>
    <row r="81" spans="1:46" x14ac:dyDescent="0.25">
      <c r="A81" s="3" t="s">
        <v>244</v>
      </c>
      <c r="B81" t="s">
        <v>354</v>
      </c>
      <c r="C81" s="2">
        <v>44764</v>
      </c>
      <c r="D81">
        <v>214</v>
      </c>
      <c r="E81">
        <v>100</v>
      </c>
      <c r="F81">
        <v>0</v>
      </c>
      <c r="G81" s="1">
        <v>84101</v>
      </c>
      <c r="H81">
        <v>393</v>
      </c>
      <c r="I81">
        <v>23.82</v>
      </c>
      <c r="J81" s="1">
        <v>3530</v>
      </c>
      <c r="K81">
        <v>16.5</v>
      </c>
      <c r="L81" s="1"/>
      <c r="M81">
        <v>67.599999999999994</v>
      </c>
      <c r="N81" s="1">
        <v>5220</v>
      </c>
      <c r="O81">
        <v>186</v>
      </c>
      <c r="P81">
        <v>171</v>
      </c>
      <c r="Q81">
        <v>0</v>
      </c>
      <c r="R81">
        <v>0</v>
      </c>
      <c r="S81">
        <v>0</v>
      </c>
      <c r="T81" s="1">
        <v>0</v>
      </c>
      <c r="U81">
        <v>0</v>
      </c>
      <c r="V81">
        <v>0</v>
      </c>
      <c r="W81">
        <v>0</v>
      </c>
      <c r="X81">
        <v>0</v>
      </c>
      <c r="Y81" s="1">
        <v>0</v>
      </c>
      <c r="Z81">
        <v>0</v>
      </c>
      <c r="AA81">
        <v>7</v>
      </c>
      <c r="AB81">
        <v>0</v>
      </c>
      <c r="AC81">
        <v>0</v>
      </c>
      <c r="AD81">
        <v>214</v>
      </c>
      <c r="AE81">
        <v>100</v>
      </c>
      <c r="AF81">
        <v>0</v>
      </c>
      <c r="AG81" s="1">
        <v>84101</v>
      </c>
      <c r="AH81">
        <v>393</v>
      </c>
      <c r="AI81">
        <v>23.82</v>
      </c>
      <c r="AJ81" s="1">
        <v>3530</v>
      </c>
      <c r="AK81">
        <v>16.5</v>
      </c>
      <c r="AL81" s="1">
        <v>516</v>
      </c>
      <c r="AM81">
        <v>67.5</v>
      </c>
      <c r="AN81" s="1">
        <v>5227</v>
      </c>
      <c r="AO81">
        <v>187</v>
      </c>
      <c r="AP81">
        <v>171</v>
      </c>
      <c r="AQ81" s="1">
        <v>281</v>
      </c>
      <c r="AR81">
        <v>60</v>
      </c>
      <c r="AS81" s="1">
        <v>633</v>
      </c>
      <c r="AT81" s="1">
        <v>0</v>
      </c>
    </row>
    <row r="82" spans="1:46" x14ac:dyDescent="0.25">
      <c r="A82" s="3" t="s">
        <v>246</v>
      </c>
      <c r="B82" t="s">
        <v>355</v>
      </c>
      <c r="C82" s="2">
        <v>44764</v>
      </c>
      <c r="D82">
        <v>46</v>
      </c>
      <c r="E82">
        <v>100</v>
      </c>
      <c r="F82">
        <v>0</v>
      </c>
      <c r="G82" s="1">
        <v>9488</v>
      </c>
      <c r="H82">
        <v>206.26</v>
      </c>
      <c r="I82">
        <v>33.15</v>
      </c>
      <c r="J82" s="1">
        <v>286</v>
      </c>
      <c r="K82">
        <v>6.22</v>
      </c>
      <c r="L82" s="1"/>
      <c r="M82">
        <v>54.7</v>
      </c>
      <c r="N82" s="1">
        <v>523</v>
      </c>
      <c r="O82">
        <v>19</v>
      </c>
      <c r="P82">
        <v>47</v>
      </c>
      <c r="Q82">
        <v>0</v>
      </c>
      <c r="R82">
        <v>0</v>
      </c>
      <c r="S82">
        <v>0</v>
      </c>
      <c r="T82" s="1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46</v>
      </c>
      <c r="AE82">
        <v>100</v>
      </c>
      <c r="AF82">
        <v>0</v>
      </c>
      <c r="AG82" s="1">
        <v>9488</v>
      </c>
      <c r="AH82">
        <v>206.26</v>
      </c>
      <c r="AI82">
        <v>33.15</v>
      </c>
      <c r="AJ82" s="1">
        <v>286</v>
      </c>
      <c r="AK82">
        <v>6.22</v>
      </c>
      <c r="AL82" s="1">
        <v>573</v>
      </c>
      <c r="AM82">
        <v>54.7</v>
      </c>
      <c r="AN82" s="1">
        <v>523</v>
      </c>
      <c r="AO82">
        <v>19</v>
      </c>
      <c r="AP82">
        <v>47</v>
      </c>
      <c r="AQ82">
        <v>17</v>
      </c>
      <c r="AR82">
        <v>0</v>
      </c>
      <c r="AS82" s="1">
        <v>0</v>
      </c>
      <c r="AT82" s="1">
        <v>0</v>
      </c>
    </row>
    <row r="83" spans="1:46" x14ac:dyDescent="0.25">
      <c r="A83" s="3" t="s">
        <v>164</v>
      </c>
      <c r="B83" t="s">
        <v>356</v>
      </c>
      <c r="C83" s="2">
        <v>44764</v>
      </c>
      <c r="D83">
        <v>27</v>
      </c>
      <c r="E83">
        <v>100</v>
      </c>
      <c r="F83">
        <v>0</v>
      </c>
      <c r="G83" s="1">
        <v>8000</v>
      </c>
      <c r="H83">
        <v>296.3</v>
      </c>
      <c r="I83">
        <v>37.17</v>
      </c>
      <c r="J83" s="1">
        <v>215</v>
      </c>
      <c r="K83">
        <v>7.97</v>
      </c>
      <c r="L83" s="1"/>
      <c r="M83">
        <v>28.6</v>
      </c>
      <c r="N83" s="1">
        <v>753</v>
      </c>
      <c r="O83">
        <v>27</v>
      </c>
      <c r="P83">
        <v>25</v>
      </c>
      <c r="Q83">
        <v>0</v>
      </c>
      <c r="R83">
        <v>0</v>
      </c>
      <c r="S83">
        <v>0</v>
      </c>
      <c r="T83" s="1">
        <v>0</v>
      </c>
      <c r="U83" s="31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27</v>
      </c>
      <c r="AE83">
        <v>100</v>
      </c>
      <c r="AF83">
        <v>0</v>
      </c>
      <c r="AG83" s="1">
        <v>8000</v>
      </c>
      <c r="AH83">
        <v>296.3</v>
      </c>
      <c r="AI83">
        <v>37.17</v>
      </c>
      <c r="AJ83" s="1">
        <v>215</v>
      </c>
      <c r="AK83">
        <v>7.97</v>
      </c>
      <c r="AL83" s="1">
        <v>340</v>
      </c>
      <c r="AM83">
        <v>28.5</v>
      </c>
      <c r="AN83" s="1">
        <v>753</v>
      </c>
      <c r="AO83">
        <v>27</v>
      </c>
      <c r="AP83">
        <v>25</v>
      </c>
      <c r="AQ83">
        <v>213</v>
      </c>
      <c r="AR83">
        <v>53</v>
      </c>
      <c r="AS83">
        <v>0</v>
      </c>
      <c r="AT83">
        <v>0</v>
      </c>
    </row>
    <row r="84" spans="1:46" x14ac:dyDescent="0.25">
      <c r="A84" s="3" t="s">
        <v>249</v>
      </c>
      <c r="B84" t="s">
        <v>357</v>
      </c>
      <c r="C84" s="2">
        <v>44764</v>
      </c>
      <c r="D84">
        <v>13</v>
      </c>
      <c r="E84">
        <v>100</v>
      </c>
      <c r="F84">
        <v>0</v>
      </c>
      <c r="G84" s="1">
        <v>2639</v>
      </c>
      <c r="H84" s="31">
        <v>203</v>
      </c>
      <c r="I84">
        <v>46.64</v>
      </c>
      <c r="J84">
        <v>56</v>
      </c>
      <c r="K84">
        <v>4.3499999999999996</v>
      </c>
      <c r="L84" s="1"/>
      <c r="M84">
        <v>35.1</v>
      </c>
      <c r="N84">
        <v>161</v>
      </c>
      <c r="O84">
        <v>6</v>
      </c>
      <c r="P84">
        <v>13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13</v>
      </c>
      <c r="AE84">
        <v>100</v>
      </c>
      <c r="AF84">
        <v>0</v>
      </c>
      <c r="AG84" s="1">
        <v>2639</v>
      </c>
      <c r="AH84" s="31">
        <v>203</v>
      </c>
      <c r="AI84">
        <v>46.64</v>
      </c>
      <c r="AJ84">
        <v>56</v>
      </c>
      <c r="AK84">
        <v>4.3499999999999996</v>
      </c>
      <c r="AL84" s="1">
        <v>506</v>
      </c>
      <c r="AM84">
        <v>35.1</v>
      </c>
      <c r="AN84">
        <v>161</v>
      </c>
      <c r="AO84">
        <v>6</v>
      </c>
      <c r="AP84">
        <v>13</v>
      </c>
      <c r="AQ84">
        <v>0</v>
      </c>
      <c r="AR84">
        <v>0</v>
      </c>
      <c r="AS84">
        <v>15</v>
      </c>
      <c r="AT84">
        <v>0</v>
      </c>
    </row>
    <row r="85" spans="1:46" x14ac:dyDescent="0.25">
      <c r="A85" s="3" t="s">
        <v>243</v>
      </c>
      <c r="B85" t="s">
        <v>170</v>
      </c>
      <c r="C85" s="2">
        <v>44764</v>
      </c>
      <c r="D85">
        <v>5</v>
      </c>
      <c r="E85">
        <v>100</v>
      </c>
      <c r="F85">
        <v>0</v>
      </c>
      <c r="G85" s="1">
        <v>914</v>
      </c>
      <c r="H85">
        <v>182.8</v>
      </c>
      <c r="I85">
        <v>28.31</v>
      </c>
      <c r="J85">
        <v>32</v>
      </c>
      <c r="K85">
        <v>6.46</v>
      </c>
      <c r="L85" s="1"/>
      <c r="M85">
        <v>34.700000000000003</v>
      </c>
      <c r="N85">
        <v>93</v>
      </c>
      <c r="O85">
        <v>3</v>
      </c>
      <c r="P85">
        <v>4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5</v>
      </c>
      <c r="AE85">
        <v>100</v>
      </c>
      <c r="AF85">
        <v>0</v>
      </c>
      <c r="AG85" s="1">
        <v>914</v>
      </c>
      <c r="AH85">
        <v>182.8</v>
      </c>
      <c r="AI85">
        <v>28.31</v>
      </c>
      <c r="AJ85">
        <v>32</v>
      </c>
      <c r="AK85">
        <v>6.46</v>
      </c>
      <c r="AL85" s="1">
        <v>351</v>
      </c>
      <c r="AM85">
        <v>34.700000000000003</v>
      </c>
      <c r="AN85">
        <v>93</v>
      </c>
      <c r="AO85">
        <v>3</v>
      </c>
      <c r="AP85">
        <v>4</v>
      </c>
      <c r="AQ85">
        <v>33</v>
      </c>
      <c r="AR85">
        <v>0</v>
      </c>
      <c r="AS85">
        <v>30</v>
      </c>
      <c r="AT85">
        <v>0</v>
      </c>
    </row>
    <row r="86" spans="1:46" x14ac:dyDescent="0.25">
      <c r="A86" s="3" t="s">
        <v>245</v>
      </c>
      <c r="B86" t="s">
        <v>358</v>
      </c>
      <c r="C86" s="2">
        <v>44764</v>
      </c>
      <c r="D86">
        <v>13</v>
      </c>
      <c r="E86">
        <v>100</v>
      </c>
      <c r="F86">
        <v>0</v>
      </c>
      <c r="G86" s="1">
        <v>4646</v>
      </c>
      <c r="H86">
        <v>357.38</v>
      </c>
      <c r="I86">
        <v>29.35</v>
      </c>
      <c r="J86">
        <v>158</v>
      </c>
      <c r="K86">
        <v>12.18</v>
      </c>
      <c r="L86" s="1"/>
      <c r="M86">
        <v>61.6</v>
      </c>
      <c r="N86" s="1">
        <v>257</v>
      </c>
      <c r="O86">
        <v>9</v>
      </c>
      <c r="P86">
        <v>13</v>
      </c>
      <c r="Q86">
        <v>0</v>
      </c>
      <c r="R86">
        <v>0</v>
      </c>
      <c r="S86">
        <v>0</v>
      </c>
      <c r="T86" s="1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13</v>
      </c>
      <c r="AE86">
        <v>100</v>
      </c>
      <c r="AF86">
        <v>0</v>
      </c>
      <c r="AG86" s="1">
        <v>4646</v>
      </c>
      <c r="AH86">
        <v>357.38</v>
      </c>
      <c r="AI86">
        <v>29.35</v>
      </c>
      <c r="AJ86" s="1">
        <v>158</v>
      </c>
      <c r="AK86">
        <v>12.18</v>
      </c>
      <c r="AL86" s="1">
        <v>592</v>
      </c>
      <c r="AM86">
        <v>61.5</v>
      </c>
      <c r="AN86" s="1">
        <v>257</v>
      </c>
      <c r="AO86">
        <v>9</v>
      </c>
      <c r="AP86">
        <v>13</v>
      </c>
      <c r="AQ86">
        <v>58</v>
      </c>
      <c r="AR86">
        <v>58</v>
      </c>
      <c r="AS86" s="1">
        <v>320</v>
      </c>
      <c r="AT86" s="1">
        <v>0</v>
      </c>
    </row>
    <row r="87" spans="1:46" x14ac:dyDescent="0.25">
      <c r="A87" s="3" t="s">
        <v>82</v>
      </c>
      <c r="B87" t="s">
        <v>359</v>
      </c>
      <c r="C87" s="2">
        <v>44764</v>
      </c>
      <c r="D87">
        <v>0</v>
      </c>
      <c r="E87">
        <v>0</v>
      </c>
      <c r="F87">
        <v>0</v>
      </c>
      <c r="G87" s="1">
        <v>0</v>
      </c>
      <c r="H87">
        <v>0</v>
      </c>
      <c r="I87">
        <v>0</v>
      </c>
      <c r="J87">
        <v>0</v>
      </c>
      <c r="K87">
        <v>0</v>
      </c>
      <c r="M87">
        <v>0</v>
      </c>
      <c r="N87" s="1">
        <v>1935</v>
      </c>
      <c r="O87">
        <v>69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5</v>
      </c>
      <c r="AB87">
        <v>0</v>
      </c>
      <c r="AC87">
        <v>0</v>
      </c>
      <c r="AD87">
        <v>0</v>
      </c>
      <c r="AE87">
        <v>0</v>
      </c>
      <c r="AF87">
        <v>0</v>
      </c>
      <c r="AG87" s="1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 s="1">
        <v>1940</v>
      </c>
      <c r="AO87">
        <v>69</v>
      </c>
      <c r="AP87">
        <v>0</v>
      </c>
      <c r="AQ87">
        <v>0</v>
      </c>
      <c r="AR87">
        <v>0</v>
      </c>
      <c r="AS87">
        <v>0</v>
      </c>
      <c r="AT87">
        <v>0</v>
      </c>
    </row>
    <row r="88" spans="1:46" x14ac:dyDescent="0.25">
      <c r="A88" s="3" t="s">
        <v>84</v>
      </c>
      <c r="B88" t="s">
        <v>360</v>
      </c>
      <c r="C88" s="2">
        <v>44764</v>
      </c>
      <c r="D88">
        <v>0</v>
      </c>
      <c r="E88">
        <v>0</v>
      </c>
      <c r="F88">
        <v>0</v>
      </c>
      <c r="G88" s="1">
        <v>0</v>
      </c>
      <c r="H88">
        <v>0</v>
      </c>
      <c r="I88">
        <v>0</v>
      </c>
      <c r="J88">
        <v>0</v>
      </c>
      <c r="K88">
        <v>0</v>
      </c>
      <c r="M88">
        <v>0</v>
      </c>
      <c r="N88" s="1">
        <v>5011</v>
      </c>
      <c r="O88" s="1">
        <v>179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 s="1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 s="1">
        <v>5011</v>
      </c>
      <c r="AO88" s="1">
        <v>179</v>
      </c>
      <c r="AP88">
        <v>0</v>
      </c>
      <c r="AQ88">
        <v>0</v>
      </c>
      <c r="AR88">
        <v>0</v>
      </c>
      <c r="AS88">
        <v>0</v>
      </c>
      <c r="AT88">
        <v>0</v>
      </c>
    </row>
    <row r="89" spans="1:46" x14ac:dyDescent="0.25">
      <c r="A89" s="3" t="s">
        <v>87</v>
      </c>
      <c r="B89" t="s">
        <v>361</v>
      </c>
      <c r="C89" s="2">
        <v>44764</v>
      </c>
      <c r="D89">
        <v>0</v>
      </c>
      <c r="E89">
        <v>0</v>
      </c>
      <c r="F89">
        <v>0</v>
      </c>
      <c r="G89" s="1">
        <v>0</v>
      </c>
      <c r="H89">
        <v>0</v>
      </c>
      <c r="I89">
        <v>0</v>
      </c>
      <c r="J89">
        <v>0</v>
      </c>
      <c r="K89">
        <v>0</v>
      </c>
      <c r="M89">
        <v>0</v>
      </c>
      <c r="N89" s="1">
        <v>3945</v>
      </c>
      <c r="O89" s="1">
        <v>141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 s="1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 s="1">
        <v>3945</v>
      </c>
      <c r="AO89" s="1">
        <v>141</v>
      </c>
      <c r="AP89">
        <v>0</v>
      </c>
      <c r="AQ89">
        <v>0</v>
      </c>
      <c r="AR89">
        <v>0</v>
      </c>
      <c r="AS89">
        <v>0</v>
      </c>
      <c r="AT89">
        <v>0</v>
      </c>
    </row>
    <row r="90" spans="1:46" x14ac:dyDescent="0.25">
      <c r="A90" s="3" t="s">
        <v>90</v>
      </c>
      <c r="B90" t="s">
        <v>362</v>
      </c>
      <c r="C90" s="2">
        <v>44764</v>
      </c>
      <c r="D90">
        <v>0</v>
      </c>
      <c r="E90">
        <v>0</v>
      </c>
      <c r="F90">
        <v>0</v>
      </c>
      <c r="G90" s="1">
        <v>0</v>
      </c>
      <c r="H90">
        <v>0</v>
      </c>
      <c r="I90">
        <v>0</v>
      </c>
      <c r="J90">
        <v>0</v>
      </c>
      <c r="K90">
        <v>0</v>
      </c>
      <c r="M90">
        <v>0</v>
      </c>
      <c r="N90" s="1">
        <v>2307</v>
      </c>
      <c r="O90">
        <v>82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 s="1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 s="1">
        <v>2307</v>
      </c>
      <c r="AO90">
        <v>82</v>
      </c>
      <c r="AP90">
        <v>0</v>
      </c>
      <c r="AQ90">
        <v>0</v>
      </c>
      <c r="AR90">
        <v>0</v>
      </c>
      <c r="AS90">
        <v>0</v>
      </c>
      <c r="AT90">
        <v>0</v>
      </c>
    </row>
    <row r="91" spans="1:46" x14ac:dyDescent="0.25">
      <c r="A91" s="3" t="s">
        <v>93</v>
      </c>
      <c r="B91" t="s">
        <v>363</v>
      </c>
      <c r="C91" s="2">
        <v>44764</v>
      </c>
      <c r="D91">
        <v>0</v>
      </c>
      <c r="E91">
        <v>0</v>
      </c>
      <c r="F91">
        <v>0</v>
      </c>
      <c r="G91" s="1">
        <v>0</v>
      </c>
      <c r="H91">
        <v>0</v>
      </c>
      <c r="I91">
        <v>0</v>
      </c>
      <c r="J91">
        <v>0</v>
      </c>
      <c r="K91">
        <v>0</v>
      </c>
      <c r="M91">
        <v>0</v>
      </c>
      <c r="N91" s="1">
        <v>11346</v>
      </c>
      <c r="O91">
        <v>405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 s="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 s="1">
        <v>11346</v>
      </c>
      <c r="AO91">
        <v>405</v>
      </c>
      <c r="AP91">
        <v>0</v>
      </c>
      <c r="AQ91">
        <v>0</v>
      </c>
      <c r="AR91">
        <v>0</v>
      </c>
      <c r="AS91">
        <v>0</v>
      </c>
      <c r="AT91">
        <v>0</v>
      </c>
    </row>
    <row r="92" spans="1:46" x14ac:dyDescent="0.25">
      <c r="A92" s="3" t="s">
        <v>96</v>
      </c>
      <c r="B92" t="s">
        <v>364</v>
      </c>
      <c r="C92" s="2">
        <v>44764</v>
      </c>
      <c r="D92">
        <v>0</v>
      </c>
      <c r="E92">
        <v>0</v>
      </c>
      <c r="F92">
        <v>0</v>
      </c>
      <c r="G92" s="1">
        <v>0</v>
      </c>
      <c r="H92">
        <v>0</v>
      </c>
      <c r="I92">
        <v>0</v>
      </c>
      <c r="J92" s="1">
        <v>0</v>
      </c>
      <c r="K92">
        <v>0</v>
      </c>
      <c r="M92">
        <v>0</v>
      </c>
      <c r="N92" s="1">
        <v>1211</v>
      </c>
      <c r="O92">
        <v>43</v>
      </c>
      <c r="P92">
        <v>0</v>
      </c>
      <c r="Q92">
        <v>0</v>
      </c>
      <c r="R92">
        <v>0</v>
      </c>
      <c r="S92">
        <v>0</v>
      </c>
      <c r="T92" s="1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 s="1">
        <v>0</v>
      </c>
      <c r="AH92">
        <v>0</v>
      </c>
      <c r="AI92">
        <v>0</v>
      </c>
      <c r="AJ92" s="1">
        <v>0</v>
      </c>
      <c r="AK92">
        <v>0</v>
      </c>
      <c r="AL92">
        <v>0</v>
      </c>
      <c r="AM92">
        <v>0</v>
      </c>
      <c r="AN92" s="1">
        <v>1211</v>
      </c>
      <c r="AO92">
        <v>43</v>
      </c>
      <c r="AP92">
        <v>0</v>
      </c>
      <c r="AQ92">
        <v>0</v>
      </c>
      <c r="AR92">
        <v>0</v>
      </c>
      <c r="AS92">
        <v>0</v>
      </c>
      <c r="AT92" s="1">
        <v>0</v>
      </c>
    </row>
    <row r="93" spans="1:46" x14ac:dyDescent="0.25">
      <c r="A93" s="3" t="s">
        <v>207</v>
      </c>
      <c r="B93" t="s">
        <v>365</v>
      </c>
      <c r="C93" s="2">
        <v>44764</v>
      </c>
      <c r="D93">
        <v>0</v>
      </c>
      <c r="E93">
        <v>0</v>
      </c>
      <c r="F93">
        <v>0</v>
      </c>
      <c r="G93" s="1">
        <v>0</v>
      </c>
      <c r="H93">
        <v>0</v>
      </c>
      <c r="I93">
        <v>0</v>
      </c>
      <c r="J93">
        <v>0</v>
      </c>
      <c r="K93">
        <v>0</v>
      </c>
      <c r="M93">
        <v>0</v>
      </c>
      <c r="N93" s="1">
        <v>856</v>
      </c>
      <c r="O93">
        <v>31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 s="1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 s="1">
        <v>856</v>
      </c>
      <c r="AO93">
        <v>31</v>
      </c>
      <c r="AP93">
        <v>0</v>
      </c>
      <c r="AQ93">
        <v>0</v>
      </c>
      <c r="AR93">
        <v>0</v>
      </c>
      <c r="AS93">
        <v>0</v>
      </c>
      <c r="AT93">
        <v>0</v>
      </c>
    </row>
    <row r="94" spans="1:46" x14ac:dyDescent="0.25">
      <c r="A94" s="3" t="s">
        <v>208</v>
      </c>
      <c r="B94" t="s">
        <v>366</v>
      </c>
      <c r="C94" s="2">
        <v>44764</v>
      </c>
      <c r="D94">
        <v>0</v>
      </c>
      <c r="E94">
        <v>0</v>
      </c>
      <c r="F94">
        <v>0</v>
      </c>
      <c r="G94" s="1">
        <v>0</v>
      </c>
      <c r="H94">
        <v>0</v>
      </c>
      <c r="I94">
        <v>0</v>
      </c>
      <c r="J94" s="1">
        <v>0</v>
      </c>
      <c r="K94">
        <v>0</v>
      </c>
      <c r="M94">
        <v>0</v>
      </c>
      <c r="N94" s="1">
        <v>1764</v>
      </c>
      <c r="O94">
        <v>63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 s="1">
        <v>0</v>
      </c>
      <c r="AH94">
        <v>0</v>
      </c>
      <c r="AI94">
        <v>0</v>
      </c>
      <c r="AJ94" s="1">
        <v>0</v>
      </c>
      <c r="AK94">
        <v>0</v>
      </c>
      <c r="AL94">
        <v>0</v>
      </c>
      <c r="AM94">
        <v>0</v>
      </c>
      <c r="AN94" s="1">
        <v>1764</v>
      </c>
      <c r="AO94">
        <v>63</v>
      </c>
      <c r="AP94">
        <v>0</v>
      </c>
      <c r="AQ94">
        <v>0</v>
      </c>
      <c r="AR94">
        <v>0</v>
      </c>
      <c r="AS94">
        <v>0</v>
      </c>
      <c r="AT94">
        <v>0</v>
      </c>
    </row>
    <row r="95" spans="1:46" x14ac:dyDescent="0.25">
      <c r="A95" s="3" t="s">
        <v>209</v>
      </c>
      <c r="B95" t="s">
        <v>367</v>
      </c>
      <c r="C95" s="2">
        <v>44764</v>
      </c>
      <c r="D95">
        <v>0</v>
      </c>
      <c r="E95">
        <v>0</v>
      </c>
      <c r="F95">
        <v>0</v>
      </c>
      <c r="G95" s="1">
        <v>0</v>
      </c>
      <c r="H95">
        <v>0</v>
      </c>
      <c r="I95">
        <v>0</v>
      </c>
      <c r="J95">
        <v>0</v>
      </c>
      <c r="K95">
        <v>0</v>
      </c>
      <c r="M95">
        <v>0</v>
      </c>
      <c r="N95" s="1">
        <v>363</v>
      </c>
      <c r="O95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 s="1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 s="1">
        <v>363</v>
      </c>
      <c r="AO95">
        <v>13</v>
      </c>
      <c r="AP95">
        <v>0</v>
      </c>
      <c r="AQ95">
        <v>0</v>
      </c>
      <c r="AR95">
        <v>0</v>
      </c>
      <c r="AS95">
        <v>0</v>
      </c>
      <c r="AT95" s="1">
        <v>0</v>
      </c>
    </row>
    <row r="96" spans="1:46" x14ac:dyDescent="0.25">
      <c r="A96" s="3" t="s">
        <v>211</v>
      </c>
      <c r="B96" t="s">
        <v>368</v>
      </c>
      <c r="C96" s="2">
        <v>44764</v>
      </c>
      <c r="D96">
        <v>0</v>
      </c>
      <c r="E96">
        <v>0</v>
      </c>
      <c r="F96">
        <v>0</v>
      </c>
      <c r="G96" s="1">
        <v>0</v>
      </c>
      <c r="H96">
        <v>0</v>
      </c>
      <c r="I96">
        <v>0</v>
      </c>
      <c r="J96">
        <v>0</v>
      </c>
      <c r="K96">
        <v>0</v>
      </c>
      <c r="M96">
        <v>0</v>
      </c>
      <c r="N96" s="1">
        <v>513</v>
      </c>
      <c r="O96">
        <v>18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 s="1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 s="1">
        <v>513</v>
      </c>
      <c r="AO96">
        <v>18</v>
      </c>
      <c r="AP96">
        <v>0</v>
      </c>
      <c r="AQ96">
        <v>0</v>
      </c>
      <c r="AR96">
        <v>0</v>
      </c>
      <c r="AS96">
        <v>0</v>
      </c>
      <c r="AT96">
        <v>0</v>
      </c>
    </row>
    <row r="97" spans="1:46" x14ac:dyDescent="0.25">
      <c r="A97" s="3" t="s">
        <v>99</v>
      </c>
      <c r="B97" t="s">
        <v>369</v>
      </c>
      <c r="C97" s="2">
        <v>44764</v>
      </c>
      <c r="D97">
        <v>0</v>
      </c>
      <c r="E97">
        <v>0</v>
      </c>
      <c r="F97">
        <v>0</v>
      </c>
      <c r="G97" s="1">
        <v>0</v>
      </c>
      <c r="H97">
        <v>0</v>
      </c>
      <c r="I97">
        <v>0</v>
      </c>
      <c r="J97">
        <v>0</v>
      </c>
      <c r="K97">
        <v>0</v>
      </c>
      <c r="M97">
        <v>0</v>
      </c>
      <c r="N97" s="1">
        <v>24376</v>
      </c>
      <c r="O97" s="1">
        <v>871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 s="1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 s="1">
        <v>24376</v>
      </c>
      <c r="AO97" s="1">
        <v>871</v>
      </c>
      <c r="AP97">
        <v>0</v>
      </c>
      <c r="AQ97">
        <v>0</v>
      </c>
      <c r="AR97">
        <v>0</v>
      </c>
      <c r="AS97">
        <v>0</v>
      </c>
      <c r="AT97">
        <v>0</v>
      </c>
    </row>
    <row r="98" spans="1:46" x14ac:dyDescent="0.25">
      <c r="A98" s="3" t="s">
        <v>253</v>
      </c>
      <c r="B98" t="s">
        <v>374</v>
      </c>
      <c r="C98" s="2">
        <v>44764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M98">
        <v>0</v>
      </c>
      <c r="N98" s="1">
        <v>1797</v>
      </c>
      <c r="O98">
        <v>64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 s="1">
        <v>1797</v>
      </c>
      <c r="AO98">
        <v>64</v>
      </c>
      <c r="AP98">
        <v>0</v>
      </c>
      <c r="AQ98">
        <v>0</v>
      </c>
      <c r="AR98">
        <v>0</v>
      </c>
      <c r="AS98">
        <v>0</v>
      </c>
      <c r="AT98">
        <v>0</v>
      </c>
    </row>
    <row r="99" spans="1:46" x14ac:dyDescent="0.25">
      <c r="A99" s="3" t="s">
        <v>380</v>
      </c>
      <c r="B99" t="s">
        <v>385</v>
      </c>
      <c r="C99" s="2">
        <v>44764</v>
      </c>
      <c r="D99">
        <v>113</v>
      </c>
      <c r="E99">
        <v>99.1</v>
      </c>
      <c r="F99">
        <v>0.9</v>
      </c>
      <c r="G99" s="1">
        <v>33427</v>
      </c>
      <c r="H99">
        <v>295.81</v>
      </c>
      <c r="I99">
        <v>36.369999999999997</v>
      </c>
      <c r="J99" s="1">
        <v>919</v>
      </c>
      <c r="K99">
        <v>8.1300000000000008</v>
      </c>
      <c r="M99">
        <v>73</v>
      </c>
      <c r="N99" s="1">
        <v>1259</v>
      </c>
      <c r="O99">
        <v>45</v>
      </c>
      <c r="P99">
        <v>108</v>
      </c>
      <c r="Q99">
        <v>3</v>
      </c>
      <c r="R99">
        <v>33.299999999999997</v>
      </c>
      <c r="S99">
        <v>66.7</v>
      </c>
      <c r="T99" s="1">
        <v>124</v>
      </c>
      <c r="U99">
        <v>41.33</v>
      </c>
      <c r="V99">
        <v>43.97</v>
      </c>
      <c r="W99">
        <v>2</v>
      </c>
      <c r="X99">
        <v>0.94</v>
      </c>
      <c r="Y99" s="1">
        <v>155</v>
      </c>
      <c r="Z99">
        <v>7.1</v>
      </c>
      <c r="AA99">
        <v>40</v>
      </c>
      <c r="AB99">
        <v>1</v>
      </c>
      <c r="AC99">
        <v>2</v>
      </c>
      <c r="AD99">
        <v>116</v>
      </c>
      <c r="AE99">
        <v>97.4</v>
      </c>
      <c r="AF99">
        <v>2.6</v>
      </c>
      <c r="AG99" s="1">
        <v>33551</v>
      </c>
      <c r="AH99">
        <v>289.23</v>
      </c>
      <c r="AI99">
        <v>36.39</v>
      </c>
      <c r="AJ99" s="1">
        <v>922</v>
      </c>
      <c r="AK99">
        <v>7.95</v>
      </c>
      <c r="AL99" s="1">
        <v>838</v>
      </c>
      <c r="AM99">
        <v>70.900000000000006</v>
      </c>
      <c r="AN99" s="1">
        <v>1299</v>
      </c>
      <c r="AO99">
        <v>46</v>
      </c>
      <c r="AP99">
        <v>110</v>
      </c>
      <c r="AQ99" s="1">
        <v>1712</v>
      </c>
      <c r="AR99">
        <v>0</v>
      </c>
      <c r="AS99" s="1">
        <v>552</v>
      </c>
      <c r="AT99" s="1">
        <v>245</v>
      </c>
    </row>
    <row r="100" spans="1:46" x14ac:dyDescent="0.25">
      <c r="A100" s="3" t="s">
        <v>381</v>
      </c>
      <c r="B100" t="s">
        <v>386</v>
      </c>
      <c r="C100" s="2">
        <v>44764</v>
      </c>
      <c r="D100">
        <v>38</v>
      </c>
      <c r="E100">
        <v>100</v>
      </c>
      <c r="F100">
        <v>0</v>
      </c>
      <c r="G100" s="1">
        <v>14867</v>
      </c>
      <c r="H100">
        <v>391.24</v>
      </c>
      <c r="I100">
        <v>36.28</v>
      </c>
      <c r="J100">
        <v>409</v>
      </c>
      <c r="K100">
        <v>10.78</v>
      </c>
      <c r="M100">
        <v>80.2</v>
      </c>
      <c r="N100">
        <v>511</v>
      </c>
      <c r="O100">
        <v>18</v>
      </c>
      <c r="P100">
        <v>37</v>
      </c>
      <c r="Q100">
        <v>0</v>
      </c>
      <c r="R100">
        <v>0</v>
      </c>
      <c r="S100">
        <v>0</v>
      </c>
      <c r="T100" s="1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38</v>
      </c>
      <c r="AE100">
        <v>100</v>
      </c>
      <c r="AF100">
        <v>0</v>
      </c>
      <c r="AG100" s="1">
        <v>14867</v>
      </c>
      <c r="AH100">
        <v>391.24</v>
      </c>
      <c r="AI100">
        <v>36.28</v>
      </c>
      <c r="AJ100">
        <v>409</v>
      </c>
      <c r="AK100">
        <v>10.78</v>
      </c>
      <c r="AL100" s="1">
        <v>949</v>
      </c>
      <c r="AM100">
        <v>80.099999999999994</v>
      </c>
      <c r="AN100">
        <v>511</v>
      </c>
      <c r="AO100">
        <v>18</v>
      </c>
      <c r="AP100">
        <v>37</v>
      </c>
      <c r="AQ100" s="1">
        <v>340</v>
      </c>
      <c r="AR100">
        <v>28</v>
      </c>
      <c r="AS100">
        <v>95</v>
      </c>
      <c r="AT100">
        <v>0</v>
      </c>
    </row>
  </sheetData>
  <pageMargins left="0.7" right="0.7" top="0.75" bottom="0.75" header="0.3" footer="0.3"/>
  <pageSetup paperSize="9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T100"/>
  <sheetViews>
    <sheetView workbookViewId="0"/>
  </sheetViews>
  <sheetFormatPr baseColWidth="10" defaultRowHeight="15" x14ac:dyDescent="0.25"/>
  <cols>
    <col min="1" max="1" width="12.5703125" bestFit="1" customWidth="1"/>
    <col min="2" max="2" width="21" bestFit="1" customWidth="1"/>
    <col min="3" max="3" width="7.7109375" bestFit="1" customWidth="1"/>
    <col min="4" max="4" width="18.7109375" bestFit="1" customWidth="1"/>
    <col min="5" max="5" width="15.140625" bestFit="1" customWidth="1"/>
    <col min="6" max="6" width="18.5703125" bestFit="1" customWidth="1"/>
    <col min="7" max="7" width="11.5703125" bestFit="1" customWidth="1"/>
    <col min="8" max="8" width="17.42578125" bestFit="1" customWidth="1"/>
    <col min="9" max="9" width="15.85546875" bestFit="1" customWidth="1"/>
    <col min="10" max="10" width="20.5703125" bestFit="1" customWidth="1"/>
    <col min="11" max="11" width="13.85546875" bestFit="1" customWidth="1"/>
    <col min="12" max="12" width="12" bestFit="1" customWidth="1"/>
    <col min="13" max="13" width="11.5703125" bestFit="1" customWidth="1"/>
    <col min="14" max="14" width="16.5703125" bestFit="1" customWidth="1"/>
    <col min="15" max="15" width="23.42578125" bestFit="1" customWidth="1"/>
    <col min="16" max="16" width="15.28515625" bestFit="1" customWidth="1"/>
    <col min="17" max="17" width="19" bestFit="1" customWidth="1"/>
    <col min="18" max="18" width="15.42578125" bestFit="1" customWidth="1"/>
    <col min="19" max="19" width="18.85546875" bestFit="1" customWidth="1"/>
    <col min="20" max="20" width="11.85546875" bestFit="1" customWidth="1"/>
    <col min="21" max="21" width="17.7109375" bestFit="1" customWidth="1"/>
    <col min="22" max="22" width="16.28515625" bestFit="1" customWidth="1"/>
    <col min="23" max="23" width="20.85546875" bestFit="1" customWidth="1"/>
    <col min="24" max="24" width="14.140625" bestFit="1" customWidth="1"/>
    <col min="25" max="25" width="12.28515625" bestFit="1" customWidth="1"/>
    <col min="26" max="26" width="11.85546875" bestFit="1" customWidth="1"/>
    <col min="27" max="27" width="16.85546875" bestFit="1" customWidth="1"/>
    <col min="28" max="28" width="23.7109375" bestFit="1" customWidth="1"/>
    <col min="29" max="29" width="15.5703125" bestFit="1" customWidth="1"/>
    <col min="30" max="30" width="21.5703125" bestFit="1" customWidth="1"/>
    <col min="31" max="31" width="18" bestFit="1" customWidth="1"/>
    <col min="32" max="32" width="21.42578125" bestFit="1" customWidth="1"/>
    <col min="33" max="33" width="14.28515625" bestFit="1" customWidth="1"/>
    <col min="34" max="34" width="20.140625" bestFit="1" customWidth="1"/>
    <col min="35" max="35" width="18.7109375" bestFit="1" customWidth="1"/>
    <col min="36" max="36" width="23.42578125" bestFit="1" customWidth="1"/>
    <col min="37" max="37" width="16.7109375" bestFit="1" customWidth="1"/>
    <col min="38" max="38" width="14.7109375" bestFit="1" customWidth="1"/>
    <col min="39" max="39" width="14.28515625" bestFit="1" customWidth="1"/>
    <col min="40" max="40" width="19.28515625" bestFit="1" customWidth="1"/>
    <col min="41" max="41" width="26.140625" bestFit="1" customWidth="1"/>
    <col min="42" max="42" width="18.140625" bestFit="1" customWidth="1"/>
    <col min="43" max="43" width="15.42578125" bestFit="1" customWidth="1"/>
    <col min="44" max="44" width="13.28515625" bestFit="1" customWidth="1"/>
    <col min="45" max="45" width="14.140625" bestFit="1" customWidth="1"/>
    <col min="46" max="46" width="18.5703125" bestFit="1" customWidth="1"/>
  </cols>
  <sheetData>
    <row r="1" spans="1:46" x14ac:dyDescent="0.25">
      <c r="A1" s="3" t="s">
        <v>0</v>
      </c>
      <c r="B1" t="s">
        <v>1</v>
      </c>
      <c r="C1" s="2" t="s">
        <v>15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</row>
    <row r="2" spans="1:46" x14ac:dyDescent="0.25">
      <c r="A2" s="3" t="s">
        <v>64</v>
      </c>
      <c r="B2" s="9" t="s">
        <v>311</v>
      </c>
      <c r="C2" s="2">
        <v>44398</v>
      </c>
      <c r="D2">
        <v>193</v>
      </c>
      <c r="E2">
        <v>96.8</v>
      </c>
      <c r="F2">
        <v>3.2</v>
      </c>
      <c r="G2" s="1">
        <v>50864</v>
      </c>
      <c r="H2">
        <v>263.54000000000002</v>
      </c>
      <c r="I2">
        <v>28.09</v>
      </c>
      <c r="J2" s="1">
        <v>1810</v>
      </c>
      <c r="K2">
        <v>9.3800000000000008</v>
      </c>
      <c r="L2" s="1"/>
      <c r="M2">
        <v>65.900000000000006</v>
      </c>
      <c r="N2" s="1">
        <v>2747</v>
      </c>
      <c r="O2">
        <v>89</v>
      </c>
      <c r="P2">
        <v>171</v>
      </c>
      <c r="Q2">
        <v>11</v>
      </c>
      <c r="R2">
        <v>9</v>
      </c>
      <c r="S2">
        <v>91</v>
      </c>
      <c r="T2" s="1">
        <v>957</v>
      </c>
      <c r="U2">
        <v>87</v>
      </c>
      <c r="V2">
        <v>88.86</v>
      </c>
      <c r="W2">
        <v>10</v>
      </c>
      <c r="X2">
        <v>0.98</v>
      </c>
      <c r="Y2" s="1">
        <v>479</v>
      </c>
      <c r="Z2">
        <v>15</v>
      </c>
      <c r="AA2">
        <v>72</v>
      </c>
      <c r="AB2">
        <v>2</v>
      </c>
      <c r="AC2">
        <v>11</v>
      </c>
      <c r="AD2">
        <v>204</v>
      </c>
      <c r="AE2">
        <v>92.1</v>
      </c>
      <c r="AF2">
        <v>7.9</v>
      </c>
      <c r="AG2" s="1">
        <v>51821</v>
      </c>
      <c r="AH2">
        <v>254.02</v>
      </c>
      <c r="AI2">
        <v>28.45</v>
      </c>
      <c r="AJ2" s="1">
        <v>1821</v>
      </c>
      <c r="AK2">
        <v>8.93</v>
      </c>
      <c r="AL2" s="1">
        <v>569</v>
      </c>
      <c r="AM2">
        <v>64.599999999999994</v>
      </c>
      <c r="AN2" s="1">
        <v>2819</v>
      </c>
      <c r="AO2">
        <v>91</v>
      </c>
      <c r="AP2">
        <v>182</v>
      </c>
      <c r="AQ2" s="1">
        <v>218</v>
      </c>
      <c r="AR2" s="1">
        <v>0</v>
      </c>
      <c r="AS2" s="1">
        <v>1847</v>
      </c>
      <c r="AT2" s="1">
        <v>1108</v>
      </c>
    </row>
    <row r="3" spans="1:46" x14ac:dyDescent="0.25">
      <c r="A3" s="3" t="s">
        <v>66</v>
      </c>
      <c r="B3" s="9" t="s">
        <v>375</v>
      </c>
      <c r="C3" s="2">
        <v>44398</v>
      </c>
      <c r="D3">
        <v>33</v>
      </c>
      <c r="E3">
        <v>96.9</v>
      </c>
      <c r="F3">
        <v>3.1</v>
      </c>
      <c r="G3" s="1">
        <v>4878</v>
      </c>
      <c r="H3">
        <v>147.82</v>
      </c>
      <c r="I3">
        <v>34.47</v>
      </c>
      <c r="J3" s="1">
        <v>141</v>
      </c>
      <c r="K3">
        <v>4.29</v>
      </c>
      <c r="L3" s="1"/>
      <c r="M3">
        <v>49</v>
      </c>
      <c r="N3" s="1">
        <v>289</v>
      </c>
      <c r="O3">
        <v>9</v>
      </c>
      <c r="P3">
        <v>36</v>
      </c>
      <c r="Q3">
        <v>5</v>
      </c>
      <c r="R3">
        <v>20</v>
      </c>
      <c r="S3">
        <v>80</v>
      </c>
      <c r="T3" s="1">
        <v>727</v>
      </c>
      <c r="U3">
        <v>145.4</v>
      </c>
      <c r="V3">
        <v>61.56</v>
      </c>
      <c r="W3">
        <v>11</v>
      </c>
      <c r="X3">
        <v>2.36</v>
      </c>
      <c r="Y3" s="1">
        <v>0</v>
      </c>
      <c r="Z3">
        <v>131.19999999999999</v>
      </c>
      <c r="AA3">
        <v>9</v>
      </c>
      <c r="AB3">
        <v>0</v>
      </c>
      <c r="AC3">
        <v>4</v>
      </c>
      <c r="AD3">
        <v>38</v>
      </c>
      <c r="AE3">
        <v>86.8</v>
      </c>
      <c r="AF3">
        <v>13.2</v>
      </c>
      <c r="AG3" s="1">
        <v>5605</v>
      </c>
      <c r="AH3">
        <v>147.5</v>
      </c>
      <c r="AI3">
        <v>36.56</v>
      </c>
      <c r="AJ3" s="1">
        <v>153</v>
      </c>
      <c r="AK3">
        <v>4.03</v>
      </c>
      <c r="AL3" s="1">
        <v>561</v>
      </c>
      <c r="AM3">
        <v>51.4</v>
      </c>
      <c r="AN3" s="1">
        <v>298</v>
      </c>
      <c r="AO3">
        <v>10</v>
      </c>
      <c r="AP3">
        <v>40</v>
      </c>
      <c r="AQ3" s="1">
        <v>214</v>
      </c>
      <c r="AR3" s="1">
        <v>0</v>
      </c>
      <c r="AS3">
        <v>75</v>
      </c>
      <c r="AT3" s="1">
        <v>142</v>
      </c>
    </row>
    <row r="4" spans="1:46" x14ac:dyDescent="0.25">
      <c r="A4" s="3" t="s">
        <v>111</v>
      </c>
      <c r="B4" s="9" t="s">
        <v>312</v>
      </c>
      <c r="C4" s="2">
        <v>44398</v>
      </c>
      <c r="D4">
        <v>16</v>
      </c>
      <c r="E4">
        <v>93.7</v>
      </c>
      <c r="F4">
        <v>6.3</v>
      </c>
      <c r="G4" s="1">
        <v>3962</v>
      </c>
      <c r="H4">
        <v>247.63</v>
      </c>
      <c r="I4">
        <v>25.95</v>
      </c>
      <c r="J4" s="1">
        <v>152</v>
      </c>
      <c r="K4">
        <v>9.5399999999999991</v>
      </c>
      <c r="L4" s="1"/>
      <c r="M4">
        <v>45.7</v>
      </c>
      <c r="N4" s="1">
        <v>334</v>
      </c>
      <c r="O4">
        <v>11</v>
      </c>
      <c r="P4">
        <v>16</v>
      </c>
      <c r="Q4">
        <v>6</v>
      </c>
      <c r="R4">
        <v>50</v>
      </c>
      <c r="S4">
        <v>50</v>
      </c>
      <c r="T4" s="1">
        <v>263</v>
      </c>
      <c r="U4">
        <v>43.83</v>
      </c>
      <c r="V4">
        <v>29.13</v>
      </c>
      <c r="W4">
        <v>9</v>
      </c>
      <c r="X4">
        <v>1.51</v>
      </c>
      <c r="Y4" s="1">
        <v>263</v>
      </c>
      <c r="Z4">
        <v>19.600000000000001</v>
      </c>
      <c r="AA4">
        <v>46</v>
      </c>
      <c r="AB4">
        <v>1</v>
      </c>
      <c r="AC4">
        <v>5</v>
      </c>
      <c r="AD4">
        <v>22</v>
      </c>
      <c r="AE4">
        <v>81.8</v>
      </c>
      <c r="AF4">
        <v>18.2</v>
      </c>
      <c r="AG4" s="1">
        <v>4225</v>
      </c>
      <c r="AH4">
        <v>192.05</v>
      </c>
      <c r="AI4">
        <v>26.13</v>
      </c>
      <c r="AJ4" s="1">
        <v>161</v>
      </c>
      <c r="AK4">
        <v>7.35</v>
      </c>
      <c r="AL4" s="1">
        <v>352</v>
      </c>
      <c r="AM4">
        <v>42.5</v>
      </c>
      <c r="AN4" s="1">
        <v>380</v>
      </c>
      <c r="AO4">
        <v>12</v>
      </c>
      <c r="AP4">
        <v>21</v>
      </c>
      <c r="AQ4">
        <v>0</v>
      </c>
      <c r="AR4">
        <v>0</v>
      </c>
      <c r="AS4">
        <v>76</v>
      </c>
      <c r="AT4">
        <v>331</v>
      </c>
    </row>
    <row r="5" spans="1:46" x14ac:dyDescent="0.25">
      <c r="A5" s="3" t="s">
        <v>105</v>
      </c>
      <c r="B5" s="9" t="s">
        <v>313</v>
      </c>
      <c r="C5" s="2">
        <v>44398</v>
      </c>
      <c r="D5" s="1">
        <v>25</v>
      </c>
      <c r="E5">
        <v>92</v>
      </c>
      <c r="F5">
        <v>8</v>
      </c>
      <c r="G5" s="1">
        <v>5147</v>
      </c>
      <c r="H5">
        <v>205.88</v>
      </c>
      <c r="I5">
        <v>28.8</v>
      </c>
      <c r="J5" s="1">
        <v>178</v>
      </c>
      <c r="K5">
        <v>7.15</v>
      </c>
      <c r="L5" s="1"/>
      <c r="M5">
        <v>41.3</v>
      </c>
      <c r="N5" s="1">
        <v>433</v>
      </c>
      <c r="O5">
        <v>14</v>
      </c>
      <c r="P5" s="1">
        <v>27</v>
      </c>
      <c r="Q5">
        <v>3</v>
      </c>
      <c r="R5">
        <v>0</v>
      </c>
      <c r="S5">
        <v>100</v>
      </c>
      <c r="T5" s="1">
        <v>137</v>
      </c>
      <c r="U5">
        <v>45.67</v>
      </c>
      <c r="V5">
        <v>61.16</v>
      </c>
      <c r="W5">
        <v>2</v>
      </c>
      <c r="X5">
        <v>0.75</v>
      </c>
      <c r="Y5" s="1">
        <v>0</v>
      </c>
      <c r="Z5">
        <v>14.9</v>
      </c>
      <c r="AA5">
        <v>15</v>
      </c>
      <c r="AB5">
        <v>0</v>
      </c>
      <c r="AC5">
        <v>3</v>
      </c>
      <c r="AD5" s="1">
        <v>28</v>
      </c>
      <c r="AE5">
        <v>82.1</v>
      </c>
      <c r="AF5">
        <v>17.899999999999999</v>
      </c>
      <c r="AG5" s="1">
        <v>5284</v>
      </c>
      <c r="AH5">
        <v>188.71</v>
      </c>
      <c r="AI5">
        <v>29.2</v>
      </c>
      <c r="AJ5" s="1">
        <v>180</v>
      </c>
      <c r="AK5">
        <v>6.46</v>
      </c>
      <c r="AL5" s="1">
        <v>377</v>
      </c>
      <c r="AM5">
        <v>40.299999999999997</v>
      </c>
      <c r="AN5" s="1">
        <v>448</v>
      </c>
      <c r="AO5">
        <v>14</v>
      </c>
      <c r="AP5" s="1">
        <v>30</v>
      </c>
      <c r="AQ5" s="1">
        <v>0</v>
      </c>
      <c r="AR5">
        <v>0</v>
      </c>
      <c r="AS5" s="1">
        <v>465</v>
      </c>
      <c r="AT5" s="1">
        <v>277</v>
      </c>
    </row>
    <row r="6" spans="1:46" x14ac:dyDescent="0.25">
      <c r="A6" s="3" t="s">
        <v>60</v>
      </c>
      <c r="B6" t="s">
        <v>314</v>
      </c>
      <c r="C6" s="2">
        <v>44398</v>
      </c>
      <c r="D6">
        <v>133</v>
      </c>
      <c r="E6">
        <v>96.2</v>
      </c>
      <c r="F6">
        <v>3.8</v>
      </c>
      <c r="G6" s="1">
        <v>41009</v>
      </c>
      <c r="H6" s="31">
        <v>308.33999999999997</v>
      </c>
      <c r="I6">
        <v>28.6</v>
      </c>
      <c r="J6" s="1">
        <v>1434</v>
      </c>
      <c r="K6">
        <v>10.78</v>
      </c>
      <c r="L6" s="1"/>
      <c r="M6">
        <v>54.6</v>
      </c>
      <c r="N6" s="1">
        <v>2625</v>
      </c>
      <c r="O6">
        <v>85</v>
      </c>
      <c r="P6">
        <v>151</v>
      </c>
      <c r="Q6">
        <v>8</v>
      </c>
      <c r="R6">
        <v>75</v>
      </c>
      <c r="S6">
        <v>25</v>
      </c>
      <c r="T6" s="1">
        <v>655</v>
      </c>
      <c r="U6">
        <v>81.88</v>
      </c>
      <c r="V6">
        <v>28.97</v>
      </c>
      <c r="W6">
        <v>22</v>
      </c>
      <c r="X6">
        <v>2.83</v>
      </c>
      <c r="Y6" s="1">
        <v>655</v>
      </c>
      <c r="Z6">
        <v>56.5</v>
      </c>
      <c r="AA6">
        <v>40</v>
      </c>
      <c r="AB6">
        <v>1</v>
      </c>
      <c r="AC6">
        <v>8</v>
      </c>
      <c r="AD6">
        <v>141</v>
      </c>
      <c r="AE6">
        <v>95</v>
      </c>
      <c r="AF6">
        <v>5</v>
      </c>
      <c r="AG6" s="1">
        <v>41664</v>
      </c>
      <c r="AH6" s="31">
        <v>295.49</v>
      </c>
      <c r="AI6">
        <v>28.6</v>
      </c>
      <c r="AJ6" s="1">
        <v>1456</v>
      </c>
      <c r="AK6">
        <v>10.33</v>
      </c>
      <c r="AL6" s="1">
        <v>484</v>
      </c>
      <c r="AM6">
        <v>54.6</v>
      </c>
      <c r="AN6" s="1">
        <v>2665</v>
      </c>
      <c r="AO6">
        <v>86</v>
      </c>
      <c r="AP6">
        <v>159</v>
      </c>
      <c r="AQ6" s="1">
        <v>2355</v>
      </c>
      <c r="AR6">
        <v>0</v>
      </c>
      <c r="AS6" s="1">
        <v>1870</v>
      </c>
      <c r="AT6" s="1">
        <v>539</v>
      </c>
    </row>
    <row r="7" spans="1:46" x14ac:dyDescent="0.25">
      <c r="A7" s="3" t="s">
        <v>216</v>
      </c>
      <c r="B7" t="s">
        <v>201</v>
      </c>
      <c r="C7" s="2">
        <v>44398</v>
      </c>
      <c r="D7">
        <v>0</v>
      </c>
      <c r="E7">
        <v>0</v>
      </c>
      <c r="F7">
        <v>0</v>
      </c>
      <c r="G7" s="1">
        <v>0</v>
      </c>
      <c r="H7">
        <v>0</v>
      </c>
      <c r="I7">
        <v>0</v>
      </c>
      <c r="J7" s="1">
        <v>0</v>
      </c>
      <c r="K7">
        <v>0</v>
      </c>
      <c r="L7" s="1">
        <v>0</v>
      </c>
      <c r="M7">
        <v>0</v>
      </c>
      <c r="N7" s="1">
        <v>0</v>
      </c>
      <c r="O7">
        <v>0</v>
      </c>
      <c r="P7">
        <v>0</v>
      </c>
      <c r="Q7">
        <v>0</v>
      </c>
      <c r="R7">
        <v>0</v>
      </c>
      <c r="S7">
        <v>0</v>
      </c>
      <c r="T7" s="1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 s="1">
        <v>0</v>
      </c>
      <c r="AH7">
        <v>0</v>
      </c>
      <c r="AI7">
        <v>0</v>
      </c>
      <c r="AJ7" s="1">
        <v>0</v>
      </c>
      <c r="AK7">
        <v>0</v>
      </c>
      <c r="AL7" s="1">
        <v>0</v>
      </c>
      <c r="AM7">
        <v>0</v>
      </c>
      <c r="AN7" s="1">
        <v>0</v>
      </c>
      <c r="AO7">
        <v>0</v>
      </c>
      <c r="AP7">
        <v>0</v>
      </c>
      <c r="AQ7">
        <v>0</v>
      </c>
      <c r="AR7">
        <v>0</v>
      </c>
      <c r="AS7" s="1">
        <v>0</v>
      </c>
      <c r="AT7" s="1">
        <v>0</v>
      </c>
    </row>
    <row r="8" spans="1:46" x14ac:dyDescent="0.25">
      <c r="A8" s="3" t="s">
        <v>107</v>
      </c>
      <c r="B8" t="s">
        <v>315</v>
      </c>
      <c r="C8" s="2">
        <v>44398</v>
      </c>
      <c r="D8">
        <v>23</v>
      </c>
      <c r="E8">
        <v>100</v>
      </c>
      <c r="F8">
        <v>0</v>
      </c>
      <c r="G8" s="1">
        <v>5259</v>
      </c>
      <c r="H8">
        <v>228.65</v>
      </c>
      <c r="I8">
        <v>28.01</v>
      </c>
      <c r="J8">
        <v>187</v>
      </c>
      <c r="K8">
        <v>8.16</v>
      </c>
      <c r="L8" s="1"/>
      <c r="M8">
        <v>41.8</v>
      </c>
      <c r="N8">
        <v>449</v>
      </c>
      <c r="O8">
        <v>14</v>
      </c>
      <c r="P8">
        <v>22</v>
      </c>
      <c r="Q8">
        <v>1</v>
      </c>
      <c r="R8">
        <v>0</v>
      </c>
      <c r="S8">
        <v>100</v>
      </c>
      <c r="T8" s="1">
        <v>61</v>
      </c>
      <c r="U8">
        <v>61</v>
      </c>
      <c r="V8">
        <v>21.86</v>
      </c>
      <c r="W8">
        <v>2</v>
      </c>
      <c r="X8">
        <v>2.79</v>
      </c>
      <c r="Y8" s="1">
        <v>0</v>
      </c>
      <c r="Z8">
        <v>93</v>
      </c>
      <c r="AA8">
        <v>3</v>
      </c>
      <c r="AB8">
        <v>0</v>
      </c>
      <c r="AC8">
        <v>1</v>
      </c>
      <c r="AD8">
        <v>24</v>
      </c>
      <c r="AE8">
        <v>95.8</v>
      </c>
      <c r="AF8">
        <v>4.2</v>
      </c>
      <c r="AG8" s="1">
        <v>5320</v>
      </c>
      <c r="AH8">
        <v>221.67</v>
      </c>
      <c r="AI8">
        <v>27.92</v>
      </c>
      <c r="AJ8">
        <v>190</v>
      </c>
      <c r="AK8">
        <v>7.94</v>
      </c>
      <c r="AL8" s="1">
        <v>355</v>
      </c>
      <c r="AM8">
        <v>42.1</v>
      </c>
      <c r="AN8" s="1">
        <v>452</v>
      </c>
      <c r="AO8">
        <v>15</v>
      </c>
      <c r="AP8">
        <v>23</v>
      </c>
      <c r="AQ8">
        <v>0</v>
      </c>
      <c r="AR8">
        <v>0</v>
      </c>
      <c r="AS8">
        <v>576</v>
      </c>
      <c r="AT8">
        <v>80</v>
      </c>
    </row>
    <row r="9" spans="1:46" x14ac:dyDescent="0.25">
      <c r="A9" s="3" t="s">
        <v>68</v>
      </c>
      <c r="B9" t="s">
        <v>316</v>
      </c>
      <c r="C9" s="2">
        <v>44398</v>
      </c>
      <c r="D9">
        <v>141</v>
      </c>
      <c r="E9">
        <v>97.8</v>
      </c>
      <c r="F9">
        <v>2.2000000000000002</v>
      </c>
      <c r="G9" s="1">
        <v>38787</v>
      </c>
      <c r="H9">
        <v>275.08999999999997</v>
      </c>
      <c r="I9">
        <v>31.68</v>
      </c>
      <c r="J9" s="1">
        <v>1224</v>
      </c>
      <c r="K9">
        <v>8.68</v>
      </c>
      <c r="L9" s="1"/>
      <c r="M9">
        <v>52.8</v>
      </c>
      <c r="N9" s="1">
        <v>2318</v>
      </c>
      <c r="O9">
        <v>75</v>
      </c>
      <c r="P9">
        <v>153</v>
      </c>
      <c r="Q9">
        <v>8</v>
      </c>
      <c r="R9">
        <v>25</v>
      </c>
      <c r="S9">
        <v>75</v>
      </c>
      <c r="T9" s="1">
        <v>1668</v>
      </c>
      <c r="U9">
        <v>208.5</v>
      </c>
      <c r="V9">
        <v>38.369999999999997</v>
      </c>
      <c r="W9">
        <v>43</v>
      </c>
      <c r="X9">
        <v>5.43</v>
      </c>
      <c r="Y9" s="1">
        <v>834</v>
      </c>
      <c r="Z9">
        <v>60.4</v>
      </c>
      <c r="AA9">
        <v>72</v>
      </c>
      <c r="AB9">
        <v>2</v>
      </c>
      <c r="AC9">
        <v>7</v>
      </c>
      <c r="AD9">
        <v>149</v>
      </c>
      <c r="AE9">
        <v>93.9</v>
      </c>
      <c r="AF9">
        <v>6.1</v>
      </c>
      <c r="AG9" s="1">
        <v>40455</v>
      </c>
      <c r="AH9">
        <v>271.51</v>
      </c>
      <c r="AI9">
        <v>31.91</v>
      </c>
      <c r="AJ9" s="1">
        <v>1267</v>
      </c>
      <c r="AK9">
        <v>8.51</v>
      </c>
      <c r="AL9" s="1">
        <v>525</v>
      </c>
      <c r="AM9">
        <v>53</v>
      </c>
      <c r="AN9" s="1">
        <v>2390</v>
      </c>
      <c r="AO9">
        <v>77</v>
      </c>
      <c r="AP9">
        <v>160</v>
      </c>
      <c r="AQ9" s="1">
        <v>2921</v>
      </c>
      <c r="AR9">
        <v>0</v>
      </c>
      <c r="AS9" s="1">
        <v>1233</v>
      </c>
      <c r="AT9" s="1">
        <v>704</v>
      </c>
    </row>
    <row r="10" spans="1:46" x14ac:dyDescent="0.25">
      <c r="A10" s="3" t="s">
        <v>70</v>
      </c>
      <c r="B10" t="s">
        <v>71</v>
      </c>
      <c r="C10" s="2">
        <v>44398</v>
      </c>
      <c r="D10">
        <v>2</v>
      </c>
      <c r="E10">
        <v>50</v>
      </c>
      <c r="F10">
        <v>50</v>
      </c>
      <c r="G10" s="1">
        <v>845</v>
      </c>
      <c r="H10">
        <v>422.5</v>
      </c>
      <c r="I10">
        <v>25.68</v>
      </c>
      <c r="J10" s="1">
        <v>32</v>
      </c>
      <c r="K10">
        <v>16.45</v>
      </c>
      <c r="L10" s="1"/>
      <c r="M10">
        <v>27</v>
      </c>
      <c r="N10" s="1">
        <v>122</v>
      </c>
      <c r="O10">
        <v>4</v>
      </c>
      <c r="P10">
        <v>2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 s="1">
        <v>0</v>
      </c>
      <c r="Z10">
        <v>0</v>
      </c>
      <c r="AA10">
        <v>2</v>
      </c>
      <c r="AB10">
        <v>0</v>
      </c>
      <c r="AC10">
        <v>0</v>
      </c>
      <c r="AD10">
        <v>2</v>
      </c>
      <c r="AE10">
        <v>50</v>
      </c>
      <c r="AF10">
        <v>50</v>
      </c>
      <c r="AG10" s="1">
        <v>845</v>
      </c>
      <c r="AH10">
        <v>422.5</v>
      </c>
      <c r="AI10">
        <v>25.68</v>
      </c>
      <c r="AJ10" s="1">
        <v>32</v>
      </c>
      <c r="AK10">
        <v>16.45</v>
      </c>
      <c r="AL10" s="1">
        <v>211</v>
      </c>
      <c r="AM10">
        <v>26.5</v>
      </c>
      <c r="AN10" s="1">
        <v>124</v>
      </c>
      <c r="AO10">
        <v>4</v>
      </c>
      <c r="AP10">
        <v>2</v>
      </c>
      <c r="AQ10">
        <v>0</v>
      </c>
      <c r="AR10">
        <v>0</v>
      </c>
      <c r="AS10" s="1">
        <v>0</v>
      </c>
      <c r="AT10">
        <v>66</v>
      </c>
    </row>
    <row r="11" spans="1:46" x14ac:dyDescent="0.25">
      <c r="A11" s="3" t="s">
        <v>72</v>
      </c>
      <c r="B11" t="s">
        <v>317</v>
      </c>
      <c r="C11" s="2">
        <v>44398</v>
      </c>
      <c r="D11">
        <v>171</v>
      </c>
      <c r="E11">
        <v>96.4</v>
      </c>
      <c r="F11">
        <v>3.6</v>
      </c>
      <c r="G11" s="1">
        <v>55590</v>
      </c>
      <c r="H11">
        <v>325.08999999999997</v>
      </c>
      <c r="I11">
        <v>30.38</v>
      </c>
      <c r="J11" s="1">
        <v>1829</v>
      </c>
      <c r="K11">
        <v>10.7</v>
      </c>
      <c r="L11" s="1"/>
      <c r="M11">
        <v>66.7</v>
      </c>
      <c r="N11" s="1">
        <v>2743</v>
      </c>
      <c r="O11">
        <v>88</v>
      </c>
      <c r="P11">
        <v>181</v>
      </c>
      <c r="Q11">
        <v>12</v>
      </c>
      <c r="R11">
        <v>33.299999999999997</v>
      </c>
      <c r="S11">
        <v>66.7</v>
      </c>
      <c r="T11" s="1">
        <v>691</v>
      </c>
      <c r="U11">
        <v>57.58</v>
      </c>
      <c r="V11">
        <v>69.31</v>
      </c>
      <c r="W11">
        <v>9</v>
      </c>
      <c r="X11">
        <v>0.83</v>
      </c>
      <c r="Y11" s="1">
        <v>691</v>
      </c>
      <c r="Z11">
        <v>22.2</v>
      </c>
      <c r="AA11">
        <v>45</v>
      </c>
      <c r="AB11">
        <v>1</v>
      </c>
      <c r="AC11">
        <v>12</v>
      </c>
      <c r="AD11">
        <v>183</v>
      </c>
      <c r="AE11">
        <v>92.3</v>
      </c>
      <c r="AF11">
        <v>7.7</v>
      </c>
      <c r="AG11" s="1">
        <v>56281</v>
      </c>
      <c r="AH11">
        <v>307.55</v>
      </c>
      <c r="AI11">
        <v>30.59</v>
      </c>
      <c r="AJ11" s="1">
        <v>1839</v>
      </c>
      <c r="AK11">
        <v>10.050000000000001</v>
      </c>
      <c r="AL11" s="1">
        <v>625</v>
      </c>
      <c r="AM11">
        <v>65.900000000000006</v>
      </c>
      <c r="AN11" s="1">
        <v>2788</v>
      </c>
      <c r="AO11">
        <v>90</v>
      </c>
      <c r="AP11">
        <v>193</v>
      </c>
      <c r="AQ11" s="1">
        <v>804</v>
      </c>
      <c r="AR11">
        <v>0</v>
      </c>
      <c r="AS11" s="1">
        <v>847</v>
      </c>
      <c r="AT11" s="1">
        <v>517</v>
      </c>
    </row>
    <row r="12" spans="1:46" x14ac:dyDescent="0.25">
      <c r="A12" s="3" t="s">
        <v>47</v>
      </c>
      <c r="B12" s="9" t="s">
        <v>318</v>
      </c>
      <c r="C12" s="2">
        <v>44398</v>
      </c>
      <c r="D12">
        <v>231</v>
      </c>
      <c r="E12">
        <v>99.5</v>
      </c>
      <c r="F12">
        <v>0.5</v>
      </c>
      <c r="G12" s="1">
        <v>109841</v>
      </c>
      <c r="H12">
        <v>475.5</v>
      </c>
      <c r="I12">
        <v>29.8</v>
      </c>
      <c r="J12" s="1">
        <v>3685</v>
      </c>
      <c r="K12">
        <v>15.96</v>
      </c>
      <c r="L12" s="1"/>
      <c r="M12">
        <v>48.6</v>
      </c>
      <c r="N12" s="1">
        <v>7588</v>
      </c>
      <c r="O12">
        <v>245</v>
      </c>
      <c r="P12">
        <v>298</v>
      </c>
      <c r="Q12">
        <v>1</v>
      </c>
      <c r="R12">
        <v>0</v>
      </c>
      <c r="S12">
        <v>100</v>
      </c>
      <c r="T12" s="1">
        <v>59</v>
      </c>
      <c r="U12">
        <v>59</v>
      </c>
      <c r="V12">
        <v>19.670000000000002</v>
      </c>
      <c r="W12">
        <v>3</v>
      </c>
      <c r="X12">
        <v>3</v>
      </c>
      <c r="Y12" s="1">
        <v>59</v>
      </c>
      <c r="Z12">
        <v>10.7</v>
      </c>
      <c r="AA12">
        <v>28</v>
      </c>
      <c r="AB12">
        <v>1</v>
      </c>
      <c r="AC12">
        <v>1</v>
      </c>
      <c r="AD12">
        <v>232</v>
      </c>
      <c r="AE12">
        <v>99.1</v>
      </c>
      <c r="AF12">
        <v>0.9</v>
      </c>
      <c r="AG12" s="1">
        <v>109900</v>
      </c>
      <c r="AH12">
        <v>473.71</v>
      </c>
      <c r="AI12">
        <v>29.79</v>
      </c>
      <c r="AJ12" s="1">
        <v>3688</v>
      </c>
      <c r="AK12">
        <v>15.9</v>
      </c>
      <c r="AL12" s="1">
        <v>447</v>
      </c>
      <c r="AM12">
        <v>48.4</v>
      </c>
      <c r="AN12" s="1">
        <v>7616</v>
      </c>
      <c r="AO12">
        <v>246</v>
      </c>
      <c r="AP12">
        <v>299</v>
      </c>
      <c r="AQ12" s="1">
        <v>759</v>
      </c>
      <c r="AR12">
        <v>0</v>
      </c>
      <c r="AS12" s="1">
        <v>760</v>
      </c>
      <c r="AT12" s="1">
        <v>16</v>
      </c>
    </row>
    <row r="13" spans="1:46" x14ac:dyDescent="0.25">
      <c r="A13" s="3" t="s">
        <v>129</v>
      </c>
      <c r="B13" t="s">
        <v>130</v>
      </c>
      <c r="C13" s="2">
        <v>44398</v>
      </c>
      <c r="D13">
        <v>0</v>
      </c>
      <c r="E13">
        <v>0</v>
      </c>
      <c r="F13">
        <v>0</v>
      </c>
      <c r="G13" s="1">
        <v>0</v>
      </c>
      <c r="H13">
        <v>0</v>
      </c>
      <c r="I13">
        <v>0</v>
      </c>
      <c r="J13" s="1">
        <v>0</v>
      </c>
      <c r="K13">
        <v>0</v>
      </c>
      <c r="L13">
        <v>0</v>
      </c>
      <c r="M13">
        <v>0</v>
      </c>
      <c r="N13" s="1">
        <v>0</v>
      </c>
      <c r="O13">
        <v>0</v>
      </c>
      <c r="P13">
        <v>0</v>
      </c>
      <c r="Q13">
        <v>0</v>
      </c>
      <c r="R13">
        <v>0</v>
      </c>
      <c r="S13">
        <v>0</v>
      </c>
      <c r="T13" s="1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 s="1">
        <v>0</v>
      </c>
      <c r="AH13">
        <v>0</v>
      </c>
      <c r="AI13">
        <v>0</v>
      </c>
      <c r="AJ13" s="1">
        <v>0</v>
      </c>
      <c r="AK13">
        <v>0</v>
      </c>
      <c r="AL13">
        <v>0</v>
      </c>
      <c r="AM13">
        <v>0</v>
      </c>
      <c r="AN13" s="1">
        <v>0</v>
      </c>
      <c r="AO13">
        <v>0</v>
      </c>
      <c r="AP13">
        <v>0</v>
      </c>
      <c r="AQ13">
        <v>0</v>
      </c>
      <c r="AR13">
        <v>0</v>
      </c>
      <c r="AS13" s="1">
        <v>0</v>
      </c>
      <c r="AT13" s="1">
        <v>0</v>
      </c>
    </row>
    <row r="14" spans="1:46" x14ac:dyDescent="0.25">
      <c r="A14" s="3" t="s">
        <v>48</v>
      </c>
      <c r="B14" s="9" t="s">
        <v>319</v>
      </c>
      <c r="C14" s="2">
        <v>44398</v>
      </c>
      <c r="D14">
        <v>331</v>
      </c>
      <c r="E14">
        <v>99.6</v>
      </c>
      <c r="F14">
        <v>0.4</v>
      </c>
      <c r="G14" s="1">
        <v>118037</v>
      </c>
      <c r="H14">
        <v>356.61</v>
      </c>
      <c r="I14">
        <v>30.3</v>
      </c>
      <c r="J14" s="1">
        <v>3895</v>
      </c>
      <c r="K14">
        <v>11.77</v>
      </c>
      <c r="L14" s="1"/>
      <c r="M14">
        <v>67.400000000000006</v>
      </c>
      <c r="N14" s="1">
        <v>5776</v>
      </c>
      <c r="O14">
        <v>186</v>
      </c>
      <c r="P14">
        <v>397</v>
      </c>
      <c r="Q14">
        <v>2</v>
      </c>
      <c r="R14">
        <v>100</v>
      </c>
      <c r="S14">
        <v>0</v>
      </c>
      <c r="T14" s="1">
        <v>173</v>
      </c>
      <c r="U14">
        <v>86.5</v>
      </c>
      <c r="V14">
        <v>51.95</v>
      </c>
      <c r="W14">
        <v>3</v>
      </c>
      <c r="X14">
        <v>1.67</v>
      </c>
      <c r="Y14" s="1">
        <v>0</v>
      </c>
      <c r="Z14">
        <v>83.3</v>
      </c>
      <c r="AA14">
        <v>4</v>
      </c>
      <c r="AB14">
        <v>0</v>
      </c>
      <c r="AC14">
        <v>1</v>
      </c>
      <c r="AD14">
        <v>333</v>
      </c>
      <c r="AE14">
        <v>99.6</v>
      </c>
      <c r="AF14">
        <v>0.4</v>
      </c>
      <c r="AG14" s="1">
        <v>118210</v>
      </c>
      <c r="AH14">
        <v>354.98</v>
      </c>
      <c r="AI14">
        <v>30.32</v>
      </c>
      <c r="AJ14" s="1">
        <v>3898</v>
      </c>
      <c r="AK14">
        <v>11.71</v>
      </c>
      <c r="AL14" s="1">
        <v>636</v>
      </c>
      <c r="AM14">
        <v>67.400000000000006</v>
      </c>
      <c r="AN14" s="1">
        <v>5780</v>
      </c>
      <c r="AO14">
        <v>186</v>
      </c>
      <c r="AP14">
        <v>398</v>
      </c>
      <c r="AQ14" s="1">
        <v>7922</v>
      </c>
      <c r="AR14">
        <v>0</v>
      </c>
      <c r="AS14">
        <v>1691</v>
      </c>
      <c r="AT14">
        <v>15</v>
      </c>
    </row>
    <row r="15" spans="1:46" x14ac:dyDescent="0.25">
      <c r="A15" s="3" t="s">
        <v>56</v>
      </c>
      <c r="B15" t="s">
        <v>320</v>
      </c>
      <c r="C15" s="2">
        <v>44398</v>
      </c>
      <c r="D15" s="1">
        <v>619</v>
      </c>
      <c r="E15">
        <v>96.9</v>
      </c>
      <c r="F15">
        <v>3.1</v>
      </c>
      <c r="G15" s="1">
        <v>101773</v>
      </c>
      <c r="H15">
        <v>164.42</v>
      </c>
      <c r="I15">
        <v>41.88</v>
      </c>
      <c r="J15" s="1">
        <v>2430</v>
      </c>
      <c r="K15">
        <v>3.93</v>
      </c>
      <c r="L15" s="1"/>
      <c r="M15">
        <v>54.9</v>
      </c>
      <c r="N15" s="1">
        <v>4427</v>
      </c>
      <c r="O15">
        <v>143</v>
      </c>
      <c r="P15" s="1">
        <v>638</v>
      </c>
      <c r="Q15">
        <v>68</v>
      </c>
      <c r="R15">
        <v>20.5</v>
      </c>
      <c r="S15">
        <v>79.5</v>
      </c>
      <c r="T15" s="1">
        <v>6213</v>
      </c>
      <c r="U15">
        <v>91.37</v>
      </c>
      <c r="V15">
        <v>58.08</v>
      </c>
      <c r="W15">
        <v>106</v>
      </c>
      <c r="X15">
        <v>1.57</v>
      </c>
      <c r="Y15" s="1">
        <v>888</v>
      </c>
      <c r="Z15">
        <v>50.2</v>
      </c>
      <c r="AA15">
        <v>213</v>
      </c>
      <c r="AB15">
        <v>7</v>
      </c>
      <c r="AC15">
        <v>59</v>
      </c>
      <c r="AD15" s="1">
        <v>687</v>
      </c>
      <c r="AE15">
        <v>89.3</v>
      </c>
      <c r="AF15">
        <v>10.7</v>
      </c>
      <c r="AG15" s="1">
        <v>107986</v>
      </c>
      <c r="AH15">
        <v>157.18</v>
      </c>
      <c r="AI15">
        <v>42.56</v>
      </c>
      <c r="AJ15" s="1">
        <v>2537</v>
      </c>
      <c r="AK15">
        <v>3.69</v>
      </c>
      <c r="AL15" s="1">
        <v>720</v>
      </c>
      <c r="AM15">
        <v>54.6</v>
      </c>
      <c r="AN15" s="1">
        <v>4640</v>
      </c>
      <c r="AO15">
        <v>150</v>
      </c>
      <c r="AP15" s="1">
        <v>697</v>
      </c>
      <c r="AQ15" s="1">
        <v>3779</v>
      </c>
      <c r="AR15">
        <v>0</v>
      </c>
      <c r="AS15" s="1">
        <v>2004</v>
      </c>
      <c r="AT15" s="1">
        <v>1489</v>
      </c>
    </row>
    <row r="16" spans="1:46" x14ac:dyDescent="0.25">
      <c r="A16" s="3" t="s">
        <v>58</v>
      </c>
      <c r="B16" t="s">
        <v>321</v>
      </c>
      <c r="C16" s="2">
        <v>44398</v>
      </c>
      <c r="D16">
        <v>277</v>
      </c>
      <c r="E16">
        <v>97.8</v>
      </c>
      <c r="F16">
        <v>2.2000000000000002</v>
      </c>
      <c r="G16" s="1">
        <v>86569</v>
      </c>
      <c r="H16">
        <v>312.52</v>
      </c>
      <c r="I16">
        <v>21.49</v>
      </c>
      <c r="J16" s="1">
        <v>4027</v>
      </c>
      <c r="K16">
        <v>14.54</v>
      </c>
      <c r="L16" s="1"/>
      <c r="M16">
        <v>57.3</v>
      </c>
      <c r="N16" s="1">
        <v>7032</v>
      </c>
      <c r="O16">
        <v>227</v>
      </c>
      <c r="P16">
        <v>287</v>
      </c>
      <c r="Q16">
        <v>8</v>
      </c>
      <c r="R16">
        <v>75</v>
      </c>
      <c r="S16">
        <v>25</v>
      </c>
      <c r="T16" s="1">
        <v>680</v>
      </c>
      <c r="U16" s="31">
        <v>85</v>
      </c>
      <c r="V16">
        <v>17.440000000000001</v>
      </c>
      <c r="W16">
        <v>39</v>
      </c>
      <c r="X16">
        <v>4.88</v>
      </c>
      <c r="Y16" s="1">
        <v>340</v>
      </c>
      <c r="Z16">
        <v>75</v>
      </c>
      <c r="AA16">
        <v>52</v>
      </c>
      <c r="AB16">
        <v>2</v>
      </c>
      <c r="AC16">
        <v>7</v>
      </c>
      <c r="AD16">
        <v>285</v>
      </c>
      <c r="AE16">
        <v>97.1</v>
      </c>
      <c r="AF16">
        <v>2.9</v>
      </c>
      <c r="AG16" s="1">
        <v>87249</v>
      </c>
      <c r="AH16">
        <v>306.14</v>
      </c>
      <c r="AI16">
        <v>21.46</v>
      </c>
      <c r="AJ16" s="1">
        <v>4066</v>
      </c>
      <c r="AK16">
        <v>14.27</v>
      </c>
      <c r="AL16" s="1">
        <v>381</v>
      </c>
      <c r="AM16">
        <v>57.4</v>
      </c>
      <c r="AN16" s="1">
        <v>7084</v>
      </c>
      <c r="AO16">
        <v>229</v>
      </c>
      <c r="AP16">
        <v>294</v>
      </c>
      <c r="AQ16" s="1">
        <v>756</v>
      </c>
      <c r="AR16">
        <v>0</v>
      </c>
      <c r="AS16" s="1">
        <v>2030</v>
      </c>
      <c r="AT16" s="1">
        <v>510</v>
      </c>
    </row>
    <row r="17" spans="1:46" x14ac:dyDescent="0.25">
      <c r="A17" s="3" t="s">
        <v>103</v>
      </c>
      <c r="B17" t="s">
        <v>322</v>
      </c>
      <c r="C17" s="2">
        <v>44398</v>
      </c>
      <c r="D17">
        <v>95</v>
      </c>
      <c r="E17">
        <v>100</v>
      </c>
      <c r="F17">
        <v>0</v>
      </c>
      <c r="G17" s="1">
        <v>33022</v>
      </c>
      <c r="H17">
        <v>347.6</v>
      </c>
      <c r="I17">
        <v>31.49</v>
      </c>
      <c r="J17" s="1">
        <v>1048</v>
      </c>
      <c r="K17">
        <v>11.04</v>
      </c>
      <c r="L17" s="1"/>
      <c r="M17">
        <v>43.7</v>
      </c>
      <c r="N17" s="1">
        <v>2398</v>
      </c>
      <c r="O17">
        <v>77</v>
      </c>
      <c r="P17">
        <v>153</v>
      </c>
      <c r="Q17">
        <v>14</v>
      </c>
      <c r="R17">
        <v>85.7</v>
      </c>
      <c r="S17">
        <v>14.3</v>
      </c>
      <c r="T17" s="1">
        <v>1922</v>
      </c>
      <c r="U17" s="31">
        <v>137.29</v>
      </c>
      <c r="V17">
        <v>36.32</v>
      </c>
      <c r="W17">
        <v>52</v>
      </c>
      <c r="X17">
        <v>3.78</v>
      </c>
      <c r="Y17">
        <v>961</v>
      </c>
      <c r="Z17">
        <v>81.400000000000006</v>
      </c>
      <c r="AA17">
        <v>65</v>
      </c>
      <c r="AB17">
        <v>2</v>
      </c>
      <c r="AC17">
        <v>11</v>
      </c>
      <c r="AD17">
        <v>109</v>
      </c>
      <c r="AE17">
        <v>98.1</v>
      </c>
      <c r="AF17">
        <v>1.9</v>
      </c>
      <c r="AG17" s="1">
        <v>34944</v>
      </c>
      <c r="AH17">
        <v>320.58999999999997</v>
      </c>
      <c r="AI17">
        <v>31.72</v>
      </c>
      <c r="AJ17" s="1">
        <v>1101</v>
      </c>
      <c r="AK17">
        <v>10.11</v>
      </c>
      <c r="AL17" s="1">
        <v>442</v>
      </c>
      <c r="AM17">
        <v>44.7</v>
      </c>
      <c r="AN17" s="1">
        <v>2463</v>
      </c>
      <c r="AO17">
        <v>79</v>
      </c>
      <c r="AP17">
        <v>164</v>
      </c>
      <c r="AQ17" s="1">
        <v>891</v>
      </c>
      <c r="AR17">
        <v>0</v>
      </c>
      <c r="AS17" s="1">
        <v>428</v>
      </c>
      <c r="AT17">
        <v>25</v>
      </c>
    </row>
    <row r="18" spans="1:46" x14ac:dyDescent="0.25">
      <c r="A18" s="3" t="s">
        <v>50</v>
      </c>
      <c r="B18" t="s">
        <v>323</v>
      </c>
      <c r="C18" s="2">
        <v>44398</v>
      </c>
      <c r="D18">
        <v>406</v>
      </c>
      <c r="E18">
        <v>95.8</v>
      </c>
      <c r="F18">
        <v>4.2</v>
      </c>
      <c r="G18" s="1">
        <v>102334</v>
      </c>
      <c r="H18">
        <v>252.05</v>
      </c>
      <c r="I18">
        <v>30.56</v>
      </c>
      <c r="J18" s="1">
        <v>3349</v>
      </c>
      <c r="K18">
        <v>8.25</v>
      </c>
      <c r="L18" s="1"/>
      <c r="M18">
        <v>49.9</v>
      </c>
      <c r="N18" s="1">
        <v>6707</v>
      </c>
      <c r="O18">
        <v>216</v>
      </c>
      <c r="P18">
        <v>475</v>
      </c>
      <c r="Q18">
        <v>44</v>
      </c>
      <c r="R18">
        <v>15.9</v>
      </c>
      <c r="S18">
        <v>84.1</v>
      </c>
      <c r="T18" s="1">
        <v>3633</v>
      </c>
      <c r="U18">
        <v>82.57</v>
      </c>
      <c r="V18">
        <v>41.59</v>
      </c>
      <c r="W18">
        <v>87</v>
      </c>
      <c r="X18">
        <v>1.99</v>
      </c>
      <c r="Y18" s="1">
        <v>606</v>
      </c>
      <c r="Z18">
        <v>48</v>
      </c>
      <c r="AA18">
        <v>182</v>
      </c>
      <c r="AB18">
        <v>6</v>
      </c>
      <c r="AC18">
        <v>44</v>
      </c>
      <c r="AD18">
        <v>450</v>
      </c>
      <c r="AE18">
        <v>88</v>
      </c>
      <c r="AF18">
        <v>12</v>
      </c>
      <c r="AG18" s="1">
        <v>105967</v>
      </c>
      <c r="AH18">
        <v>235.48</v>
      </c>
      <c r="AI18">
        <v>30.84</v>
      </c>
      <c r="AJ18" s="1">
        <v>3436</v>
      </c>
      <c r="AK18">
        <v>7.64</v>
      </c>
      <c r="AL18" s="1">
        <v>477</v>
      </c>
      <c r="AM18">
        <v>49.8</v>
      </c>
      <c r="AN18" s="1">
        <v>6889</v>
      </c>
      <c r="AO18">
        <v>222</v>
      </c>
      <c r="AP18">
        <v>519</v>
      </c>
      <c r="AQ18" s="1">
        <v>3133</v>
      </c>
      <c r="AR18">
        <v>3</v>
      </c>
      <c r="AS18" s="1">
        <v>3667</v>
      </c>
      <c r="AT18" s="1">
        <v>2042</v>
      </c>
    </row>
    <row r="19" spans="1:46" x14ac:dyDescent="0.25">
      <c r="A19" s="3" t="s">
        <v>52</v>
      </c>
      <c r="B19" s="9" t="s">
        <v>324</v>
      </c>
      <c r="C19" s="2">
        <v>44398</v>
      </c>
      <c r="D19">
        <v>57</v>
      </c>
      <c r="E19">
        <v>91.2</v>
      </c>
      <c r="F19">
        <v>8.8000000000000007</v>
      </c>
      <c r="G19" s="1">
        <v>11191</v>
      </c>
      <c r="H19">
        <v>196.33</v>
      </c>
      <c r="I19">
        <v>55.72</v>
      </c>
      <c r="J19">
        <v>200</v>
      </c>
      <c r="K19">
        <v>3.52</v>
      </c>
      <c r="L19" s="1"/>
      <c r="M19">
        <v>33.5</v>
      </c>
      <c r="N19" s="1">
        <v>600</v>
      </c>
      <c r="O19">
        <v>19</v>
      </c>
      <c r="P19">
        <v>60</v>
      </c>
      <c r="Q19">
        <v>10</v>
      </c>
      <c r="R19">
        <v>10</v>
      </c>
      <c r="S19">
        <v>90</v>
      </c>
      <c r="T19" s="1">
        <v>1275</v>
      </c>
      <c r="U19">
        <v>127.5</v>
      </c>
      <c r="V19">
        <v>77.180000000000007</v>
      </c>
      <c r="W19">
        <v>16</v>
      </c>
      <c r="X19">
        <v>1.65</v>
      </c>
      <c r="Y19" s="1">
        <v>638</v>
      </c>
      <c r="Z19">
        <v>28.5</v>
      </c>
      <c r="AA19">
        <v>58</v>
      </c>
      <c r="AB19">
        <v>2</v>
      </c>
      <c r="AC19">
        <v>8</v>
      </c>
      <c r="AD19">
        <v>67</v>
      </c>
      <c r="AE19">
        <v>79.099999999999994</v>
      </c>
      <c r="AF19">
        <v>20.9</v>
      </c>
      <c r="AG19" s="1">
        <v>12466</v>
      </c>
      <c r="AH19">
        <v>186.06</v>
      </c>
      <c r="AI19">
        <v>57.35</v>
      </c>
      <c r="AJ19">
        <v>217</v>
      </c>
      <c r="AK19">
        <v>3.24</v>
      </c>
      <c r="AL19" s="1">
        <v>594</v>
      </c>
      <c r="AM19">
        <v>33</v>
      </c>
      <c r="AN19" s="1">
        <v>658</v>
      </c>
      <c r="AO19">
        <v>21</v>
      </c>
      <c r="AP19">
        <v>68</v>
      </c>
      <c r="AQ19">
        <v>431</v>
      </c>
      <c r="AR19">
        <v>0</v>
      </c>
      <c r="AS19">
        <v>33</v>
      </c>
      <c r="AT19" s="1">
        <v>400</v>
      </c>
    </row>
    <row r="20" spans="1:46" x14ac:dyDescent="0.25">
      <c r="A20" s="3" t="s">
        <v>217</v>
      </c>
      <c r="B20" t="s">
        <v>133</v>
      </c>
      <c r="C20" s="2">
        <v>44398</v>
      </c>
      <c r="D20">
        <v>0</v>
      </c>
      <c r="E20">
        <v>0</v>
      </c>
      <c r="F20">
        <v>0</v>
      </c>
      <c r="G20" s="1">
        <v>0</v>
      </c>
      <c r="H20">
        <v>0</v>
      </c>
      <c r="I20">
        <v>0</v>
      </c>
      <c r="J20" s="1">
        <v>0</v>
      </c>
      <c r="K20">
        <v>0</v>
      </c>
      <c r="L20">
        <v>0</v>
      </c>
      <c r="M20">
        <v>0</v>
      </c>
      <c r="N20" s="1">
        <v>0</v>
      </c>
      <c r="O20">
        <v>0</v>
      </c>
      <c r="P20">
        <v>0</v>
      </c>
      <c r="Q20">
        <v>0</v>
      </c>
      <c r="R20">
        <v>0</v>
      </c>
      <c r="S20">
        <v>0</v>
      </c>
      <c r="T20" s="1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 s="1">
        <v>0</v>
      </c>
      <c r="AH20">
        <v>0</v>
      </c>
      <c r="AI20">
        <v>0</v>
      </c>
      <c r="AJ20" s="1">
        <v>0</v>
      </c>
      <c r="AK20">
        <v>0</v>
      </c>
      <c r="AL20">
        <v>0</v>
      </c>
      <c r="AM20">
        <v>0</v>
      </c>
      <c r="AN20" s="1">
        <v>0</v>
      </c>
      <c r="AO20">
        <v>0</v>
      </c>
      <c r="AP20">
        <v>0</v>
      </c>
      <c r="AQ20">
        <v>0</v>
      </c>
      <c r="AR20">
        <v>0</v>
      </c>
      <c r="AS20" s="1">
        <v>0</v>
      </c>
      <c r="AT20" s="1">
        <v>0</v>
      </c>
    </row>
    <row r="21" spans="1:46" x14ac:dyDescent="0.25">
      <c r="A21" s="3" t="s">
        <v>123</v>
      </c>
      <c r="B21" t="s">
        <v>124</v>
      </c>
      <c r="C21" s="2">
        <v>44398</v>
      </c>
      <c r="D21">
        <v>0</v>
      </c>
      <c r="E21">
        <v>0</v>
      </c>
      <c r="F21">
        <v>0</v>
      </c>
      <c r="G21" s="1">
        <v>0</v>
      </c>
      <c r="H21">
        <v>0</v>
      </c>
      <c r="I21">
        <v>0</v>
      </c>
      <c r="J21">
        <v>0</v>
      </c>
      <c r="K21">
        <v>0</v>
      </c>
      <c r="L21" s="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 s="1">
        <v>0</v>
      </c>
      <c r="AH21">
        <v>0</v>
      </c>
      <c r="AI21">
        <v>0</v>
      </c>
      <c r="AJ21">
        <v>0</v>
      </c>
      <c r="AK21">
        <v>0</v>
      </c>
      <c r="AL21" s="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</row>
    <row r="22" spans="1:46" x14ac:dyDescent="0.25">
      <c r="A22" s="3" t="s">
        <v>78</v>
      </c>
      <c r="B22" t="s">
        <v>79</v>
      </c>
      <c r="C22" s="2">
        <v>44398</v>
      </c>
      <c r="D22">
        <v>105</v>
      </c>
      <c r="E22">
        <v>94.2</v>
      </c>
      <c r="F22">
        <v>5.8</v>
      </c>
      <c r="G22" s="1">
        <v>36195</v>
      </c>
      <c r="H22">
        <v>344.71</v>
      </c>
      <c r="I22">
        <v>33.33</v>
      </c>
      <c r="J22" s="1">
        <v>1085</v>
      </c>
      <c r="K22">
        <v>10.34</v>
      </c>
      <c r="L22" s="1"/>
      <c r="M22">
        <v>58.3</v>
      </c>
      <c r="N22" s="1">
        <v>1863</v>
      </c>
      <c r="O22">
        <v>60</v>
      </c>
      <c r="P22">
        <v>122</v>
      </c>
      <c r="Q22">
        <v>17</v>
      </c>
      <c r="R22">
        <v>29.4</v>
      </c>
      <c r="S22">
        <v>70.599999999999994</v>
      </c>
      <c r="T22" s="1">
        <v>1956</v>
      </c>
      <c r="U22">
        <v>115.06</v>
      </c>
      <c r="V22">
        <v>41.34</v>
      </c>
      <c r="W22">
        <v>47</v>
      </c>
      <c r="X22">
        <v>2.78</v>
      </c>
      <c r="Y22" s="1">
        <v>652</v>
      </c>
      <c r="Z22">
        <v>53.2</v>
      </c>
      <c r="AA22">
        <v>89</v>
      </c>
      <c r="AB22">
        <v>3</v>
      </c>
      <c r="AC22">
        <v>16</v>
      </c>
      <c r="AD22">
        <v>122</v>
      </c>
      <c r="AE22">
        <v>85.2</v>
      </c>
      <c r="AF22">
        <v>14.8</v>
      </c>
      <c r="AG22" s="1">
        <v>38151</v>
      </c>
      <c r="AH22">
        <v>312.70999999999998</v>
      </c>
      <c r="AI22">
        <v>33.67</v>
      </c>
      <c r="AJ22" s="1">
        <v>1133</v>
      </c>
      <c r="AK22">
        <v>9.2899999999999991</v>
      </c>
      <c r="AL22" s="1">
        <v>606</v>
      </c>
      <c r="AM22">
        <v>58</v>
      </c>
      <c r="AN22" s="1">
        <v>1952</v>
      </c>
      <c r="AO22">
        <v>63</v>
      </c>
      <c r="AP22">
        <v>138</v>
      </c>
      <c r="AQ22" s="1">
        <v>578</v>
      </c>
      <c r="AR22">
        <v>0</v>
      </c>
      <c r="AS22" s="1">
        <v>667</v>
      </c>
      <c r="AT22" s="1">
        <v>1429</v>
      </c>
    </row>
    <row r="23" spans="1:46" x14ac:dyDescent="0.25">
      <c r="A23" s="3" t="s">
        <v>80</v>
      </c>
      <c r="B23" t="s">
        <v>81</v>
      </c>
      <c r="C23" s="2">
        <v>44398</v>
      </c>
      <c r="D23">
        <v>20</v>
      </c>
      <c r="E23">
        <v>95</v>
      </c>
      <c r="F23">
        <v>5</v>
      </c>
      <c r="G23" s="1">
        <v>3775</v>
      </c>
      <c r="H23">
        <v>188.75</v>
      </c>
      <c r="I23">
        <v>39.79</v>
      </c>
      <c r="J23">
        <v>94</v>
      </c>
      <c r="K23">
        <v>4.74</v>
      </c>
      <c r="L23" s="1"/>
      <c r="M23">
        <v>48.4</v>
      </c>
      <c r="N23" s="1">
        <v>196</v>
      </c>
      <c r="O23">
        <v>6</v>
      </c>
      <c r="P23">
        <v>24</v>
      </c>
      <c r="Q23">
        <v>6</v>
      </c>
      <c r="R23">
        <v>16.600000000000001</v>
      </c>
      <c r="S23">
        <v>83.4</v>
      </c>
      <c r="T23" s="1">
        <v>496</v>
      </c>
      <c r="U23">
        <v>82.67</v>
      </c>
      <c r="V23">
        <v>72.510000000000005</v>
      </c>
      <c r="W23">
        <v>6</v>
      </c>
      <c r="X23">
        <v>1.1399999999999999</v>
      </c>
      <c r="Y23" s="1">
        <v>496</v>
      </c>
      <c r="Z23">
        <v>17.100000000000001</v>
      </c>
      <c r="AA23">
        <v>40</v>
      </c>
      <c r="AB23">
        <v>1</v>
      </c>
      <c r="AC23">
        <v>6</v>
      </c>
      <c r="AD23">
        <v>26</v>
      </c>
      <c r="AE23">
        <v>76.900000000000006</v>
      </c>
      <c r="AF23">
        <v>23.1</v>
      </c>
      <c r="AG23" s="1">
        <v>4271</v>
      </c>
      <c r="AH23">
        <v>164.27</v>
      </c>
      <c r="AI23">
        <v>41.99</v>
      </c>
      <c r="AJ23">
        <v>101</v>
      </c>
      <c r="AK23">
        <v>3.91</v>
      </c>
      <c r="AL23" s="1">
        <v>534</v>
      </c>
      <c r="AM23">
        <v>43</v>
      </c>
      <c r="AN23" s="1">
        <v>236</v>
      </c>
      <c r="AO23">
        <v>8</v>
      </c>
      <c r="AP23">
        <v>30</v>
      </c>
      <c r="AQ23">
        <v>281</v>
      </c>
      <c r="AR23">
        <v>0</v>
      </c>
      <c r="AS23">
        <v>8</v>
      </c>
      <c r="AT23">
        <v>137</v>
      </c>
    </row>
    <row r="24" spans="1:46" x14ac:dyDescent="0.25">
      <c r="A24" s="3" t="s">
        <v>109</v>
      </c>
      <c r="B24" t="s">
        <v>325</v>
      </c>
      <c r="C24" s="2">
        <v>44398</v>
      </c>
      <c r="D24">
        <v>17</v>
      </c>
      <c r="E24">
        <v>82.3</v>
      </c>
      <c r="F24">
        <v>17.7</v>
      </c>
      <c r="G24" s="1">
        <v>3751</v>
      </c>
      <c r="H24">
        <v>220.65</v>
      </c>
      <c r="I24">
        <v>30.76</v>
      </c>
      <c r="J24">
        <v>121</v>
      </c>
      <c r="K24">
        <v>7.17</v>
      </c>
      <c r="L24" s="1"/>
      <c r="M24">
        <v>61.6</v>
      </c>
      <c r="N24" s="1">
        <v>198</v>
      </c>
      <c r="O24">
        <v>6</v>
      </c>
      <c r="P24">
        <v>16</v>
      </c>
      <c r="Q24">
        <v>2</v>
      </c>
      <c r="R24">
        <v>0</v>
      </c>
      <c r="S24">
        <v>100</v>
      </c>
      <c r="T24">
        <v>332</v>
      </c>
      <c r="U24">
        <v>166</v>
      </c>
      <c r="V24">
        <v>53.98</v>
      </c>
      <c r="W24">
        <v>6</v>
      </c>
      <c r="X24">
        <v>3.08</v>
      </c>
      <c r="Y24">
        <v>0</v>
      </c>
      <c r="Z24">
        <v>153.80000000000001</v>
      </c>
      <c r="AA24">
        <v>4</v>
      </c>
      <c r="AB24">
        <v>0</v>
      </c>
      <c r="AC24">
        <v>1</v>
      </c>
      <c r="AD24">
        <v>19</v>
      </c>
      <c r="AE24">
        <v>73.599999999999994</v>
      </c>
      <c r="AF24">
        <v>26.4</v>
      </c>
      <c r="AG24" s="1">
        <v>4083</v>
      </c>
      <c r="AH24">
        <v>214.89</v>
      </c>
      <c r="AI24">
        <v>31.88</v>
      </c>
      <c r="AJ24">
        <v>128</v>
      </c>
      <c r="AK24">
        <v>6.74</v>
      </c>
      <c r="AL24" s="1">
        <v>583</v>
      </c>
      <c r="AM24">
        <v>63.4</v>
      </c>
      <c r="AN24" s="1">
        <v>202</v>
      </c>
      <c r="AO24">
        <v>7</v>
      </c>
      <c r="AP24">
        <v>17</v>
      </c>
      <c r="AQ24">
        <v>0</v>
      </c>
      <c r="AR24">
        <v>0</v>
      </c>
      <c r="AS24">
        <v>279</v>
      </c>
      <c r="AT24" s="1">
        <v>349</v>
      </c>
    </row>
    <row r="25" spans="1:46" x14ac:dyDescent="0.25">
      <c r="A25" s="3" t="s">
        <v>74</v>
      </c>
      <c r="B25" t="s">
        <v>75</v>
      </c>
      <c r="C25" s="2">
        <v>44398</v>
      </c>
      <c r="D25">
        <v>37</v>
      </c>
      <c r="E25">
        <v>97.2</v>
      </c>
      <c r="F25">
        <v>2.8</v>
      </c>
      <c r="G25" s="1">
        <v>5324</v>
      </c>
      <c r="H25">
        <v>143.88999999999999</v>
      </c>
      <c r="I25">
        <v>40.58</v>
      </c>
      <c r="J25">
        <v>131</v>
      </c>
      <c r="K25">
        <v>3.55</v>
      </c>
      <c r="L25" s="1"/>
      <c r="M25">
        <v>36.9</v>
      </c>
      <c r="N25" s="1">
        <v>356</v>
      </c>
      <c r="O25">
        <v>11</v>
      </c>
      <c r="P25">
        <v>35</v>
      </c>
      <c r="Q25">
        <v>1</v>
      </c>
      <c r="R25">
        <v>0</v>
      </c>
      <c r="S25">
        <v>100</v>
      </c>
      <c r="T25">
        <v>115</v>
      </c>
      <c r="U25">
        <v>115</v>
      </c>
      <c r="V25">
        <v>61.5</v>
      </c>
      <c r="W25">
        <v>1</v>
      </c>
      <c r="X25">
        <v>1.87</v>
      </c>
      <c r="Y25" s="1">
        <v>0</v>
      </c>
      <c r="Z25">
        <v>13.4</v>
      </c>
      <c r="AA25">
        <v>14</v>
      </c>
      <c r="AB25">
        <v>0</v>
      </c>
      <c r="AC25">
        <v>1</v>
      </c>
      <c r="AD25">
        <v>38</v>
      </c>
      <c r="AE25">
        <v>94.7</v>
      </c>
      <c r="AF25">
        <v>5.3</v>
      </c>
      <c r="AG25" s="1">
        <v>5439</v>
      </c>
      <c r="AH25">
        <v>143.13</v>
      </c>
      <c r="AI25">
        <v>40.869999999999997</v>
      </c>
      <c r="AJ25">
        <v>133</v>
      </c>
      <c r="AK25">
        <v>3.5</v>
      </c>
      <c r="AL25" s="1">
        <v>453</v>
      </c>
      <c r="AM25">
        <v>35.9</v>
      </c>
      <c r="AN25" s="1">
        <v>370</v>
      </c>
      <c r="AO25">
        <v>12</v>
      </c>
      <c r="AP25">
        <v>36</v>
      </c>
      <c r="AQ25">
        <v>106</v>
      </c>
      <c r="AR25">
        <v>0</v>
      </c>
      <c r="AS25">
        <v>154</v>
      </c>
      <c r="AT25">
        <v>11</v>
      </c>
    </row>
    <row r="26" spans="1:46" x14ac:dyDescent="0.25">
      <c r="A26" s="3" t="s">
        <v>76</v>
      </c>
      <c r="B26" t="s">
        <v>77</v>
      </c>
      <c r="C26" s="2">
        <v>44398</v>
      </c>
      <c r="D26">
        <v>153</v>
      </c>
      <c r="E26">
        <v>88.2</v>
      </c>
      <c r="F26">
        <v>11.8</v>
      </c>
      <c r="G26" s="1">
        <v>33781</v>
      </c>
      <c r="H26">
        <v>220.79</v>
      </c>
      <c r="I26">
        <v>36.39</v>
      </c>
      <c r="J26">
        <v>928</v>
      </c>
      <c r="K26">
        <v>6.07</v>
      </c>
      <c r="L26" s="1"/>
      <c r="M26">
        <v>50.2</v>
      </c>
      <c r="N26" s="1">
        <v>1849</v>
      </c>
      <c r="O26">
        <v>60</v>
      </c>
      <c r="P26">
        <v>138</v>
      </c>
      <c r="Q26">
        <v>12</v>
      </c>
      <c r="R26">
        <v>16.600000000000001</v>
      </c>
      <c r="S26">
        <v>83.4</v>
      </c>
      <c r="T26" s="1">
        <v>1479</v>
      </c>
      <c r="U26">
        <v>123.25</v>
      </c>
      <c r="V26">
        <v>30.2</v>
      </c>
      <c r="W26">
        <v>48</v>
      </c>
      <c r="X26">
        <v>4.08</v>
      </c>
      <c r="Y26" s="1">
        <v>1479</v>
      </c>
      <c r="Z26">
        <v>111.3</v>
      </c>
      <c r="AA26">
        <v>44</v>
      </c>
      <c r="AB26">
        <v>1</v>
      </c>
      <c r="AC26">
        <v>11</v>
      </c>
      <c r="AD26">
        <v>165</v>
      </c>
      <c r="AE26">
        <v>83</v>
      </c>
      <c r="AF26">
        <v>17</v>
      </c>
      <c r="AG26" s="1">
        <v>35260</v>
      </c>
      <c r="AH26">
        <v>213.7</v>
      </c>
      <c r="AI26">
        <v>36.08</v>
      </c>
      <c r="AJ26">
        <v>977</v>
      </c>
      <c r="AK26">
        <v>5.92</v>
      </c>
      <c r="AL26" s="1">
        <v>578</v>
      </c>
      <c r="AM26">
        <v>51.6</v>
      </c>
      <c r="AN26" s="1">
        <v>1893</v>
      </c>
      <c r="AO26">
        <v>61</v>
      </c>
      <c r="AP26">
        <v>149</v>
      </c>
      <c r="AQ26">
        <v>42</v>
      </c>
      <c r="AR26">
        <v>0</v>
      </c>
      <c r="AS26">
        <v>1519</v>
      </c>
      <c r="AT26" s="1">
        <v>2223</v>
      </c>
    </row>
    <row r="27" spans="1:46" x14ac:dyDescent="0.25">
      <c r="A27" s="3" t="s">
        <v>101</v>
      </c>
      <c r="B27" t="s">
        <v>326</v>
      </c>
      <c r="C27" s="2">
        <v>44398</v>
      </c>
      <c r="D27">
        <v>158</v>
      </c>
      <c r="E27">
        <v>98.7</v>
      </c>
      <c r="F27">
        <v>1.3</v>
      </c>
      <c r="G27" s="1">
        <v>36951</v>
      </c>
      <c r="H27">
        <v>233.87</v>
      </c>
      <c r="I27">
        <v>30.84</v>
      </c>
      <c r="J27" s="1">
        <v>1198</v>
      </c>
      <c r="K27">
        <v>7.58</v>
      </c>
      <c r="L27" s="1"/>
      <c r="M27">
        <v>53.4</v>
      </c>
      <c r="N27" s="1">
        <v>2245</v>
      </c>
      <c r="O27">
        <v>72</v>
      </c>
      <c r="P27">
        <v>153</v>
      </c>
      <c r="Q27">
        <v>41</v>
      </c>
      <c r="R27">
        <v>80.400000000000006</v>
      </c>
      <c r="S27">
        <v>19.600000000000001</v>
      </c>
      <c r="T27" s="1">
        <v>2678</v>
      </c>
      <c r="U27">
        <v>65.319999999999993</v>
      </c>
      <c r="V27">
        <v>24.7</v>
      </c>
      <c r="W27">
        <v>108</v>
      </c>
      <c r="X27">
        <v>2.64</v>
      </c>
      <c r="Y27" s="1">
        <v>446</v>
      </c>
      <c r="Z27">
        <v>60.6</v>
      </c>
      <c r="AA27">
        <v>179</v>
      </c>
      <c r="AB27">
        <v>6</v>
      </c>
      <c r="AC27">
        <v>38</v>
      </c>
      <c r="AD27">
        <v>199</v>
      </c>
      <c r="AE27">
        <v>94.9</v>
      </c>
      <c r="AF27">
        <v>5.0999999999999996</v>
      </c>
      <c r="AG27" s="1">
        <v>39629</v>
      </c>
      <c r="AH27">
        <v>199.14</v>
      </c>
      <c r="AI27">
        <v>30.33</v>
      </c>
      <c r="AJ27" s="1">
        <v>1306</v>
      </c>
      <c r="AK27">
        <v>6.57</v>
      </c>
      <c r="AL27" s="1">
        <v>508</v>
      </c>
      <c r="AM27">
        <v>53.8</v>
      </c>
      <c r="AN27" s="1">
        <v>2424</v>
      </c>
      <c r="AO27">
        <v>78</v>
      </c>
      <c r="AP27">
        <v>191</v>
      </c>
      <c r="AQ27" s="1">
        <v>822</v>
      </c>
      <c r="AR27">
        <v>0</v>
      </c>
      <c r="AS27" s="1">
        <v>1516</v>
      </c>
      <c r="AT27" s="1">
        <v>292</v>
      </c>
    </row>
    <row r="28" spans="1:46" x14ac:dyDescent="0.25">
      <c r="A28" s="3" t="s">
        <v>54</v>
      </c>
      <c r="B28" t="s">
        <v>327</v>
      </c>
      <c r="C28" s="2">
        <v>44398</v>
      </c>
      <c r="D28">
        <v>84</v>
      </c>
      <c r="E28">
        <v>95.2</v>
      </c>
      <c r="F28">
        <v>4.8</v>
      </c>
      <c r="G28" s="1">
        <v>18800</v>
      </c>
      <c r="H28">
        <v>223.81</v>
      </c>
      <c r="I28">
        <v>26.46</v>
      </c>
      <c r="J28" s="1">
        <v>710</v>
      </c>
      <c r="K28">
        <v>8.4600000000000009</v>
      </c>
      <c r="L28" s="1"/>
      <c r="M28">
        <v>52.3</v>
      </c>
      <c r="N28" s="1">
        <v>1358</v>
      </c>
      <c r="O28">
        <v>44</v>
      </c>
      <c r="P28">
        <v>76</v>
      </c>
      <c r="Q28">
        <v>7</v>
      </c>
      <c r="R28">
        <v>28.5</v>
      </c>
      <c r="S28">
        <v>71.5</v>
      </c>
      <c r="T28" s="1">
        <v>386</v>
      </c>
      <c r="U28">
        <v>55.14</v>
      </c>
      <c r="V28">
        <v>23.31</v>
      </c>
      <c r="W28">
        <v>16</v>
      </c>
      <c r="X28">
        <v>2.37</v>
      </c>
      <c r="Y28" s="1">
        <v>386</v>
      </c>
      <c r="Z28">
        <v>69</v>
      </c>
      <c r="AA28">
        <v>24</v>
      </c>
      <c r="AB28">
        <v>1</v>
      </c>
      <c r="AC28">
        <v>8</v>
      </c>
      <c r="AD28">
        <v>91</v>
      </c>
      <c r="AE28">
        <v>90.1</v>
      </c>
      <c r="AF28">
        <v>9.9</v>
      </c>
      <c r="AG28" s="1">
        <v>19186</v>
      </c>
      <c r="AH28">
        <v>210.84</v>
      </c>
      <c r="AI28">
        <v>26.39</v>
      </c>
      <c r="AJ28" s="1">
        <v>727</v>
      </c>
      <c r="AK28">
        <v>7.99</v>
      </c>
      <c r="AL28" s="1">
        <v>426</v>
      </c>
      <c r="AM28">
        <v>52.6</v>
      </c>
      <c r="AN28" s="1">
        <v>1382</v>
      </c>
      <c r="AO28">
        <v>45</v>
      </c>
      <c r="AP28">
        <v>84</v>
      </c>
      <c r="AQ28" s="1">
        <v>0</v>
      </c>
      <c r="AR28">
        <v>0</v>
      </c>
      <c r="AS28">
        <v>1158</v>
      </c>
      <c r="AT28" s="1">
        <v>419</v>
      </c>
    </row>
    <row r="29" spans="1:46" x14ac:dyDescent="0.25">
      <c r="A29" s="3" t="s">
        <v>113</v>
      </c>
      <c r="B29" t="s">
        <v>114</v>
      </c>
      <c r="C29" s="2">
        <v>44398</v>
      </c>
      <c r="D29">
        <v>61</v>
      </c>
      <c r="E29">
        <v>95</v>
      </c>
      <c r="F29">
        <v>5</v>
      </c>
      <c r="G29" s="1">
        <v>13805</v>
      </c>
      <c r="H29">
        <v>226.31</v>
      </c>
      <c r="I29">
        <v>29.24</v>
      </c>
      <c r="J29" s="1">
        <v>472</v>
      </c>
      <c r="K29">
        <v>7.74</v>
      </c>
      <c r="L29" s="1"/>
      <c r="M29">
        <v>46.4</v>
      </c>
      <c r="N29" s="1">
        <v>1017</v>
      </c>
      <c r="O29">
        <v>33</v>
      </c>
      <c r="P29">
        <v>57</v>
      </c>
      <c r="Q29">
        <v>11</v>
      </c>
      <c r="R29">
        <v>45.4</v>
      </c>
      <c r="S29">
        <v>54.6</v>
      </c>
      <c r="T29" s="1">
        <v>612</v>
      </c>
      <c r="U29">
        <v>55.64</v>
      </c>
      <c r="V29">
        <v>69.23</v>
      </c>
      <c r="W29">
        <v>8</v>
      </c>
      <c r="X29">
        <v>0.8</v>
      </c>
      <c r="Y29" s="1">
        <v>612</v>
      </c>
      <c r="Z29">
        <v>22.7</v>
      </c>
      <c r="AA29">
        <v>39</v>
      </c>
      <c r="AB29">
        <v>1</v>
      </c>
      <c r="AC29">
        <v>14</v>
      </c>
      <c r="AD29">
        <v>72</v>
      </c>
      <c r="AE29">
        <v>87.5</v>
      </c>
      <c r="AF29">
        <v>12.5</v>
      </c>
      <c r="AG29" s="1">
        <v>14417</v>
      </c>
      <c r="AH29">
        <v>200.24</v>
      </c>
      <c r="AI29">
        <v>29.97</v>
      </c>
      <c r="AJ29" s="1">
        <v>481</v>
      </c>
      <c r="AK29">
        <v>6.68</v>
      </c>
      <c r="AL29" s="1">
        <v>424</v>
      </c>
      <c r="AM29">
        <v>45.5</v>
      </c>
      <c r="AN29" s="1">
        <v>1056</v>
      </c>
      <c r="AO29">
        <v>34</v>
      </c>
      <c r="AP29">
        <v>71</v>
      </c>
      <c r="AQ29" s="1">
        <v>217</v>
      </c>
      <c r="AR29">
        <v>0</v>
      </c>
      <c r="AS29">
        <v>284</v>
      </c>
      <c r="AT29" s="1">
        <v>704</v>
      </c>
    </row>
    <row r="30" spans="1:46" x14ac:dyDescent="0.25">
      <c r="A30" s="3" t="s">
        <v>115</v>
      </c>
      <c r="B30" t="s">
        <v>116</v>
      </c>
      <c r="C30" s="2">
        <v>44398</v>
      </c>
      <c r="D30">
        <v>22</v>
      </c>
      <c r="E30">
        <v>90.9</v>
      </c>
      <c r="F30">
        <v>9.1</v>
      </c>
      <c r="G30" s="1">
        <v>4576</v>
      </c>
      <c r="H30">
        <v>208</v>
      </c>
      <c r="I30">
        <v>53.8</v>
      </c>
      <c r="J30">
        <v>85</v>
      </c>
      <c r="K30">
        <v>3.87</v>
      </c>
      <c r="L30" s="1"/>
      <c r="M30">
        <v>56</v>
      </c>
      <c r="N30" s="1">
        <v>152</v>
      </c>
      <c r="O30">
        <v>5</v>
      </c>
      <c r="P30">
        <v>23</v>
      </c>
      <c r="Q30">
        <v>1</v>
      </c>
      <c r="R30">
        <v>100</v>
      </c>
      <c r="S30">
        <v>0</v>
      </c>
      <c r="T30" s="1">
        <v>168</v>
      </c>
      <c r="U30">
        <v>168</v>
      </c>
      <c r="V30">
        <v>77.78</v>
      </c>
      <c r="W30">
        <v>2</v>
      </c>
      <c r="X30">
        <v>2.16</v>
      </c>
      <c r="Y30" s="1">
        <v>0</v>
      </c>
      <c r="Z30">
        <v>54</v>
      </c>
      <c r="AA30">
        <v>4</v>
      </c>
      <c r="AB30">
        <v>0</v>
      </c>
      <c r="AC30">
        <v>1</v>
      </c>
      <c r="AD30">
        <v>23</v>
      </c>
      <c r="AE30">
        <v>91.3</v>
      </c>
      <c r="AF30">
        <v>8.6999999999999993</v>
      </c>
      <c r="AG30" s="1">
        <v>4744</v>
      </c>
      <c r="AH30">
        <v>206.26</v>
      </c>
      <c r="AI30">
        <v>54.4</v>
      </c>
      <c r="AJ30">
        <v>87</v>
      </c>
      <c r="AK30">
        <v>3.79</v>
      </c>
      <c r="AL30" s="1">
        <v>949</v>
      </c>
      <c r="AM30">
        <v>55.9</v>
      </c>
      <c r="AN30" s="1">
        <v>156</v>
      </c>
      <c r="AO30">
        <v>5</v>
      </c>
      <c r="AP30">
        <v>24</v>
      </c>
      <c r="AQ30">
        <v>161</v>
      </c>
      <c r="AR30">
        <v>0</v>
      </c>
      <c r="AS30">
        <v>75</v>
      </c>
      <c r="AT30">
        <v>66</v>
      </c>
    </row>
    <row r="31" spans="1:46" x14ac:dyDescent="0.25">
      <c r="A31" s="3" t="s">
        <v>121</v>
      </c>
      <c r="B31" t="s">
        <v>122</v>
      </c>
      <c r="C31" s="2">
        <v>44398</v>
      </c>
      <c r="D31">
        <v>0</v>
      </c>
      <c r="E31">
        <v>0</v>
      </c>
      <c r="F31">
        <v>0</v>
      </c>
      <c r="G31" s="1">
        <v>0</v>
      </c>
      <c r="H31">
        <v>0</v>
      </c>
      <c r="I31">
        <v>0</v>
      </c>
      <c r="J31">
        <v>0</v>
      </c>
      <c r="K31">
        <v>0</v>
      </c>
      <c r="L31" s="1">
        <v>0</v>
      </c>
      <c r="M31">
        <v>0</v>
      </c>
      <c r="N31" s="1">
        <v>0</v>
      </c>
      <c r="O31">
        <v>0</v>
      </c>
      <c r="P31">
        <v>0</v>
      </c>
      <c r="Q31">
        <v>0</v>
      </c>
      <c r="R31">
        <v>0</v>
      </c>
      <c r="S31">
        <v>0</v>
      </c>
      <c r="T31" s="1">
        <v>0</v>
      </c>
      <c r="U31">
        <v>0</v>
      </c>
      <c r="V31">
        <v>0</v>
      </c>
      <c r="W31">
        <v>0</v>
      </c>
      <c r="X31">
        <v>0</v>
      </c>
      <c r="Y31" s="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 s="1">
        <v>0</v>
      </c>
      <c r="AH31">
        <v>0</v>
      </c>
      <c r="AI31">
        <v>0</v>
      </c>
      <c r="AJ31">
        <v>0</v>
      </c>
      <c r="AK31">
        <v>0</v>
      </c>
      <c r="AL31" s="1">
        <v>0</v>
      </c>
      <c r="AM31">
        <v>0</v>
      </c>
      <c r="AN31" s="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 s="1">
        <v>0</v>
      </c>
    </row>
    <row r="32" spans="1:46" x14ac:dyDescent="0.25">
      <c r="A32" s="3" t="s">
        <v>117</v>
      </c>
      <c r="B32" t="s">
        <v>118</v>
      </c>
      <c r="C32" s="2">
        <v>44398</v>
      </c>
      <c r="D32">
        <v>111</v>
      </c>
      <c r="E32">
        <v>95.4</v>
      </c>
      <c r="F32">
        <v>4.5999999999999996</v>
      </c>
      <c r="G32" s="1">
        <v>26706</v>
      </c>
      <c r="H32">
        <v>240.59</v>
      </c>
      <c r="I32">
        <v>30.22</v>
      </c>
      <c r="J32" s="1">
        <v>883</v>
      </c>
      <c r="K32">
        <v>7.96</v>
      </c>
      <c r="L32" s="1"/>
      <c r="M32">
        <v>55.9</v>
      </c>
      <c r="N32" s="1">
        <v>1581</v>
      </c>
      <c r="O32">
        <v>51</v>
      </c>
      <c r="P32">
        <v>124</v>
      </c>
      <c r="Q32">
        <v>13</v>
      </c>
      <c r="R32">
        <v>53.8</v>
      </c>
      <c r="S32">
        <v>46.2</v>
      </c>
      <c r="T32" s="1">
        <v>592</v>
      </c>
      <c r="U32">
        <v>45.54</v>
      </c>
      <c r="V32">
        <v>49.25</v>
      </c>
      <c r="W32">
        <v>12</v>
      </c>
      <c r="X32">
        <v>0.92</v>
      </c>
      <c r="Y32" s="1">
        <v>592</v>
      </c>
      <c r="Z32">
        <v>46.2</v>
      </c>
      <c r="AA32">
        <v>26</v>
      </c>
      <c r="AB32">
        <v>1</v>
      </c>
      <c r="AC32">
        <v>14</v>
      </c>
      <c r="AD32">
        <v>124</v>
      </c>
      <c r="AE32">
        <v>91.1</v>
      </c>
      <c r="AF32">
        <v>8.9</v>
      </c>
      <c r="AG32" s="1">
        <v>27298</v>
      </c>
      <c r="AH32">
        <v>220.15</v>
      </c>
      <c r="AI32">
        <v>30.47</v>
      </c>
      <c r="AJ32" s="1">
        <v>895</v>
      </c>
      <c r="AK32">
        <v>7.22</v>
      </c>
      <c r="AL32" s="1">
        <v>525</v>
      </c>
      <c r="AM32">
        <v>55.7</v>
      </c>
      <c r="AN32" s="1">
        <v>1607</v>
      </c>
      <c r="AO32">
        <v>52</v>
      </c>
      <c r="AP32">
        <v>138</v>
      </c>
      <c r="AQ32">
        <v>519</v>
      </c>
      <c r="AR32">
        <v>0</v>
      </c>
      <c r="AS32" s="1">
        <v>1014</v>
      </c>
      <c r="AT32" s="1">
        <v>568</v>
      </c>
    </row>
    <row r="33" spans="1:46" x14ac:dyDescent="0.25">
      <c r="A33" s="3" t="s">
        <v>119</v>
      </c>
      <c r="B33" t="s">
        <v>328</v>
      </c>
      <c r="C33" s="2">
        <v>44398</v>
      </c>
      <c r="D33">
        <v>25</v>
      </c>
      <c r="E33">
        <v>100</v>
      </c>
      <c r="F33">
        <v>0</v>
      </c>
      <c r="G33" s="1">
        <v>4019</v>
      </c>
      <c r="H33">
        <v>160.76</v>
      </c>
      <c r="I33">
        <v>67.69</v>
      </c>
      <c r="J33" s="1">
        <v>59</v>
      </c>
      <c r="K33">
        <v>2.37</v>
      </c>
      <c r="L33" s="1"/>
      <c r="M33">
        <v>47.1</v>
      </c>
      <c r="N33" s="1">
        <v>126</v>
      </c>
      <c r="O33">
        <v>4</v>
      </c>
      <c r="P33">
        <v>27</v>
      </c>
      <c r="Q33">
        <v>1</v>
      </c>
      <c r="R33">
        <v>0</v>
      </c>
      <c r="S33">
        <v>100</v>
      </c>
      <c r="T33">
        <v>368</v>
      </c>
      <c r="U33">
        <v>368</v>
      </c>
      <c r="V33">
        <v>69.040000000000006</v>
      </c>
      <c r="W33">
        <v>5</v>
      </c>
      <c r="X33">
        <v>5.33</v>
      </c>
      <c r="Y33" s="1">
        <v>0</v>
      </c>
      <c r="Z33">
        <v>76.099999999999994</v>
      </c>
      <c r="AA33">
        <v>7</v>
      </c>
      <c r="AB33">
        <v>0</v>
      </c>
      <c r="AC33">
        <v>1</v>
      </c>
      <c r="AD33">
        <v>26</v>
      </c>
      <c r="AE33">
        <v>96.1</v>
      </c>
      <c r="AF33">
        <v>3.9</v>
      </c>
      <c r="AG33" s="1">
        <v>4387</v>
      </c>
      <c r="AH33">
        <v>168.73</v>
      </c>
      <c r="AI33">
        <v>67.81</v>
      </c>
      <c r="AJ33" s="1">
        <v>64</v>
      </c>
      <c r="AK33">
        <v>2.4900000000000002</v>
      </c>
      <c r="AL33" s="1">
        <v>1097</v>
      </c>
      <c r="AM33">
        <v>48.6</v>
      </c>
      <c r="AN33" s="1">
        <v>133</v>
      </c>
      <c r="AO33">
        <v>4</v>
      </c>
      <c r="AP33">
        <v>28</v>
      </c>
      <c r="AQ33">
        <v>153</v>
      </c>
      <c r="AR33">
        <v>0</v>
      </c>
      <c r="AS33">
        <v>13</v>
      </c>
      <c r="AT33" s="1">
        <v>138</v>
      </c>
    </row>
    <row r="34" spans="1:46" x14ac:dyDescent="0.25">
      <c r="A34" s="3" t="s">
        <v>125</v>
      </c>
      <c r="B34" t="s">
        <v>126</v>
      </c>
      <c r="C34" s="2">
        <v>44398</v>
      </c>
      <c r="D34">
        <v>23</v>
      </c>
      <c r="E34">
        <v>91.3</v>
      </c>
      <c r="F34">
        <v>8.6999999999999993</v>
      </c>
      <c r="G34" s="1">
        <v>2925</v>
      </c>
      <c r="H34">
        <v>127.17</v>
      </c>
      <c r="I34">
        <v>71.55</v>
      </c>
      <c r="J34">
        <v>40</v>
      </c>
      <c r="K34">
        <v>1.78</v>
      </c>
      <c r="L34" s="1"/>
      <c r="M34">
        <v>37.200000000000003</v>
      </c>
      <c r="N34">
        <v>110</v>
      </c>
      <c r="O34">
        <v>4</v>
      </c>
      <c r="P34">
        <v>21</v>
      </c>
      <c r="Q34">
        <v>0</v>
      </c>
      <c r="R34">
        <v>0</v>
      </c>
      <c r="S34">
        <v>0</v>
      </c>
      <c r="T34" s="1">
        <v>0</v>
      </c>
      <c r="U34">
        <v>0</v>
      </c>
      <c r="V34" s="31">
        <v>0</v>
      </c>
      <c r="W34">
        <v>0</v>
      </c>
      <c r="X34">
        <v>0</v>
      </c>
      <c r="Y34" s="1">
        <v>0</v>
      </c>
      <c r="Z34">
        <v>0</v>
      </c>
      <c r="AA34">
        <v>0</v>
      </c>
      <c r="AB34">
        <v>0</v>
      </c>
      <c r="AC34">
        <v>0</v>
      </c>
      <c r="AD34">
        <v>23</v>
      </c>
      <c r="AE34">
        <v>91.3</v>
      </c>
      <c r="AF34">
        <v>8.6999999999999993</v>
      </c>
      <c r="AG34" s="1">
        <v>2925</v>
      </c>
      <c r="AH34">
        <v>127.17</v>
      </c>
      <c r="AI34">
        <v>71.55</v>
      </c>
      <c r="AJ34">
        <v>40</v>
      </c>
      <c r="AK34">
        <v>1.78</v>
      </c>
      <c r="AL34" s="1">
        <v>731</v>
      </c>
      <c r="AM34">
        <v>37.1</v>
      </c>
      <c r="AN34">
        <v>110</v>
      </c>
      <c r="AO34">
        <v>4</v>
      </c>
      <c r="AP34">
        <v>21</v>
      </c>
      <c r="AQ34">
        <v>148</v>
      </c>
      <c r="AR34">
        <v>0</v>
      </c>
      <c r="AS34">
        <v>5</v>
      </c>
      <c r="AT34" s="1">
        <v>30</v>
      </c>
    </row>
    <row r="35" spans="1:46" x14ac:dyDescent="0.25">
      <c r="A35" s="3" t="s">
        <v>127</v>
      </c>
      <c r="B35" t="s">
        <v>128</v>
      </c>
      <c r="C35" s="2">
        <v>44398</v>
      </c>
      <c r="D35">
        <v>91</v>
      </c>
      <c r="E35">
        <v>98.9</v>
      </c>
      <c r="F35">
        <v>1.1000000000000001</v>
      </c>
      <c r="G35" s="1">
        <v>24127</v>
      </c>
      <c r="H35">
        <v>265.13</v>
      </c>
      <c r="I35">
        <v>27.94</v>
      </c>
      <c r="J35" s="1">
        <v>863</v>
      </c>
      <c r="K35">
        <v>9.49</v>
      </c>
      <c r="L35" s="1"/>
      <c r="M35">
        <v>40.1</v>
      </c>
      <c r="N35" s="1">
        <v>2155</v>
      </c>
      <c r="O35">
        <v>70</v>
      </c>
      <c r="P35">
        <v>96</v>
      </c>
      <c r="Q35">
        <v>10</v>
      </c>
      <c r="R35">
        <v>10</v>
      </c>
      <c r="S35">
        <v>90</v>
      </c>
      <c r="T35" s="1">
        <v>1153</v>
      </c>
      <c r="U35">
        <v>115.3</v>
      </c>
      <c r="V35">
        <v>76.260000000000005</v>
      </c>
      <c r="W35">
        <v>15</v>
      </c>
      <c r="X35">
        <v>1.51</v>
      </c>
      <c r="Y35" s="1">
        <v>577</v>
      </c>
      <c r="Z35">
        <v>23.6</v>
      </c>
      <c r="AA35">
        <v>64</v>
      </c>
      <c r="AB35">
        <v>2</v>
      </c>
      <c r="AC35">
        <v>12</v>
      </c>
      <c r="AD35">
        <v>101</v>
      </c>
      <c r="AE35">
        <v>90</v>
      </c>
      <c r="AF35">
        <v>10</v>
      </c>
      <c r="AG35" s="1">
        <v>25280</v>
      </c>
      <c r="AH35">
        <v>250.3</v>
      </c>
      <c r="AI35">
        <v>28.77</v>
      </c>
      <c r="AJ35" s="1">
        <v>878</v>
      </c>
      <c r="AK35">
        <v>8.6999999999999993</v>
      </c>
      <c r="AL35" s="1">
        <v>351</v>
      </c>
      <c r="AM35">
        <v>39.6</v>
      </c>
      <c r="AN35" s="1">
        <v>2219</v>
      </c>
      <c r="AO35">
        <v>72</v>
      </c>
      <c r="AP35">
        <v>108</v>
      </c>
      <c r="AQ35" s="1">
        <v>366</v>
      </c>
      <c r="AR35">
        <v>0</v>
      </c>
      <c r="AS35" s="1">
        <v>568</v>
      </c>
      <c r="AT35" s="1">
        <v>702</v>
      </c>
    </row>
    <row r="36" spans="1:46" x14ac:dyDescent="0.25">
      <c r="A36" s="3" t="s">
        <v>131</v>
      </c>
      <c r="B36" t="s">
        <v>132</v>
      </c>
      <c r="C36" s="2">
        <v>44398</v>
      </c>
      <c r="D36">
        <v>0</v>
      </c>
      <c r="E36">
        <v>0</v>
      </c>
      <c r="F36">
        <v>0</v>
      </c>
      <c r="G36" s="1">
        <v>0</v>
      </c>
      <c r="H36">
        <v>0</v>
      </c>
      <c r="I36">
        <v>0</v>
      </c>
      <c r="J36">
        <v>0</v>
      </c>
      <c r="K36">
        <v>0</v>
      </c>
      <c r="L36" s="1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 s="1">
        <v>0</v>
      </c>
      <c r="AH36">
        <v>0</v>
      </c>
      <c r="AI36">
        <v>0</v>
      </c>
      <c r="AJ36">
        <v>0</v>
      </c>
      <c r="AK36">
        <v>0</v>
      </c>
      <c r="AL36" s="1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</row>
    <row r="37" spans="1:46" x14ac:dyDescent="0.25">
      <c r="A37" s="3" t="s">
        <v>191</v>
      </c>
      <c r="B37" t="s">
        <v>192</v>
      </c>
      <c r="C37" s="2">
        <v>44398</v>
      </c>
      <c r="D37">
        <v>196</v>
      </c>
      <c r="E37">
        <v>97.9</v>
      </c>
      <c r="F37">
        <v>2.1</v>
      </c>
      <c r="G37" s="1">
        <v>44093</v>
      </c>
      <c r="H37">
        <v>224.96</v>
      </c>
      <c r="I37">
        <v>30.55</v>
      </c>
      <c r="J37" s="1">
        <v>1443</v>
      </c>
      <c r="K37">
        <v>7.36</v>
      </c>
      <c r="L37" s="1"/>
      <c r="M37">
        <v>70.900000000000006</v>
      </c>
      <c r="N37" s="1">
        <v>2037</v>
      </c>
      <c r="O37">
        <v>66</v>
      </c>
      <c r="P37">
        <v>192</v>
      </c>
      <c r="Q37">
        <v>17</v>
      </c>
      <c r="R37">
        <v>35.200000000000003</v>
      </c>
      <c r="S37">
        <v>64.8</v>
      </c>
      <c r="T37" s="1">
        <v>1324</v>
      </c>
      <c r="U37">
        <v>77.88</v>
      </c>
      <c r="V37">
        <v>52.46</v>
      </c>
      <c r="W37">
        <v>25</v>
      </c>
      <c r="X37">
        <v>1.48</v>
      </c>
      <c r="Y37" s="1">
        <v>662</v>
      </c>
      <c r="Z37">
        <v>51.5</v>
      </c>
      <c r="AA37">
        <v>49</v>
      </c>
      <c r="AB37">
        <v>2</v>
      </c>
      <c r="AC37">
        <v>15</v>
      </c>
      <c r="AD37">
        <v>213</v>
      </c>
      <c r="AE37">
        <v>92.9</v>
      </c>
      <c r="AF37">
        <v>7.1</v>
      </c>
      <c r="AG37" s="1">
        <v>45417</v>
      </c>
      <c r="AH37">
        <v>213.23</v>
      </c>
      <c r="AI37">
        <v>30.92</v>
      </c>
      <c r="AJ37" s="1">
        <v>1468</v>
      </c>
      <c r="AK37">
        <v>6.9</v>
      </c>
      <c r="AL37" s="1">
        <v>678</v>
      </c>
      <c r="AM37">
        <v>70.400000000000006</v>
      </c>
      <c r="AN37" s="1">
        <v>2086</v>
      </c>
      <c r="AO37">
        <v>67</v>
      </c>
      <c r="AP37">
        <v>207</v>
      </c>
      <c r="AQ37" s="1">
        <v>593</v>
      </c>
      <c r="AR37">
        <v>5</v>
      </c>
      <c r="AS37" s="1">
        <v>679</v>
      </c>
      <c r="AT37" s="1">
        <v>862</v>
      </c>
    </row>
    <row r="38" spans="1:46" x14ac:dyDescent="0.25">
      <c r="A38" s="3" t="s">
        <v>193</v>
      </c>
      <c r="B38" t="s">
        <v>329</v>
      </c>
      <c r="C38" s="2">
        <v>44398</v>
      </c>
      <c r="D38">
        <v>23</v>
      </c>
      <c r="E38">
        <v>100</v>
      </c>
      <c r="F38">
        <v>0</v>
      </c>
      <c r="G38" s="1">
        <v>4330</v>
      </c>
      <c r="H38">
        <v>188.26</v>
      </c>
      <c r="I38">
        <v>49.41</v>
      </c>
      <c r="J38">
        <v>87</v>
      </c>
      <c r="K38">
        <v>3.81</v>
      </c>
      <c r="L38" s="1"/>
      <c r="M38">
        <v>40.6</v>
      </c>
      <c r="N38">
        <v>216</v>
      </c>
      <c r="O38">
        <v>7</v>
      </c>
      <c r="P38">
        <v>24</v>
      </c>
      <c r="Q38">
        <v>1</v>
      </c>
      <c r="R38">
        <v>100</v>
      </c>
      <c r="S38">
        <v>0</v>
      </c>
      <c r="T38" s="1">
        <v>103</v>
      </c>
      <c r="U38">
        <v>103</v>
      </c>
      <c r="V38">
        <v>42.04</v>
      </c>
      <c r="W38">
        <v>2</v>
      </c>
      <c r="X38">
        <v>2.4500000000000002</v>
      </c>
      <c r="Y38" s="1">
        <v>26</v>
      </c>
      <c r="Z38">
        <v>2.1</v>
      </c>
      <c r="AA38">
        <v>114</v>
      </c>
      <c r="AB38">
        <v>4</v>
      </c>
      <c r="AC38">
        <v>0</v>
      </c>
      <c r="AD38">
        <v>24</v>
      </c>
      <c r="AE38">
        <v>100</v>
      </c>
      <c r="AF38">
        <v>0</v>
      </c>
      <c r="AG38" s="1">
        <v>4433</v>
      </c>
      <c r="AH38">
        <v>184.71</v>
      </c>
      <c r="AI38">
        <v>49.21</v>
      </c>
      <c r="AJ38">
        <v>90</v>
      </c>
      <c r="AK38">
        <v>3.75</v>
      </c>
      <c r="AL38" s="1">
        <v>403</v>
      </c>
      <c r="AM38">
        <v>27.3</v>
      </c>
      <c r="AN38">
        <v>330</v>
      </c>
      <c r="AO38">
        <v>11</v>
      </c>
      <c r="AP38">
        <v>24</v>
      </c>
      <c r="AQ38">
        <v>92</v>
      </c>
      <c r="AR38">
        <v>0</v>
      </c>
      <c r="AS38">
        <v>0</v>
      </c>
      <c r="AT38">
        <v>66</v>
      </c>
    </row>
    <row r="39" spans="1:46" x14ac:dyDescent="0.25">
      <c r="A39" s="3" t="s">
        <v>186</v>
      </c>
      <c r="B39" t="s">
        <v>330</v>
      </c>
      <c r="C39" s="2">
        <v>44398</v>
      </c>
      <c r="D39">
        <v>59</v>
      </c>
      <c r="E39">
        <v>94.9</v>
      </c>
      <c r="F39">
        <v>5.0999999999999996</v>
      </c>
      <c r="G39" s="1">
        <v>12326</v>
      </c>
      <c r="H39">
        <v>208.92</v>
      </c>
      <c r="I39">
        <v>31.35</v>
      </c>
      <c r="J39" s="1">
        <v>393</v>
      </c>
      <c r="K39">
        <v>6.66</v>
      </c>
      <c r="L39" s="1"/>
      <c r="M39">
        <v>59.3</v>
      </c>
      <c r="N39" s="1">
        <v>663</v>
      </c>
      <c r="O39">
        <v>21</v>
      </c>
      <c r="P39">
        <v>51</v>
      </c>
      <c r="Q39">
        <v>10</v>
      </c>
      <c r="R39">
        <v>10</v>
      </c>
      <c r="S39">
        <v>90</v>
      </c>
      <c r="T39" s="1">
        <v>782</v>
      </c>
      <c r="U39">
        <v>78.2</v>
      </c>
      <c r="V39">
        <v>47.51</v>
      </c>
      <c r="W39">
        <v>16</v>
      </c>
      <c r="X39">
        <v>1.65</v>
      </c>
      <c r="Y39" s="1">
        <v>782</v>
      </c>
      <c r="Z39">
        <v>71.599999999999994</v>
      </c>
      <c r="AA39">
        <v>23</v>
      </c>
      <c r="AB39">
        <v>1</v>
      </c>
      <c r="AC39">
        <v>8</v>
      </c>
      <c r="AD39">
        <v>69</v>
      </c>
      <c r="AE39">
        <v>82.6</v>
      </c>
      <c r="AF39">
        <v>17.399999999999999</v>
      </c>
      <c r="AG39" s="1">
        <v>13108</v>
      </c>
      <c r="AH39">
        <v>189.97</v>
      </c>
      <c r="AI39">
        <v>32</v>
      </c>
      <c r="AJ39" s="1">
        <v>409</v>
      </c>
      <c r="AK39">
        <v>5.94</v>
      </c>
      <c r="AL39" s="1">
        <v>596</v>
      </c>
      <c r="AM39">
        <v>59.7</v>
      </c>
      <c r="AN39" s="1">
        <v>686</v>
      </c>
      <c r="AO39">
        <v>22</v>
      </c>
      <c r="AP39">
        <v>59</v>
      </c>
      <c r="AQ39">
        <v>60</v>
      </c>
      <c r="AR39">
        <v>0</v>
      </c>
      <c r="AS39">
        <v>213</v>
      </c>
      <c r="AT39" s="1">
        <v>533</v>
      </c>
    </row>
    <row r="40" spans="1:46" x14ac:dyDescent="0.25">
      <c r="A40" s="3" t="s">
        <v>188</v>
      </c>
      <c r="B40" t="s">
        <v>189</v>
      </c>
      <c r="C40" s="2">
        <v>44398</v>
      </c>
      <c r="D40">
        <v>18</v>
      </c>
      <c r="E40">
        <v>94.4</v>
      </c>
      <c r="F40">
        <v>5.6</v>
      </c>
      <c r="G40" s="1">
        <v>2684</v>
      </c>
      <c r="H40">
        <v>149.11000000000001</v>
      </c>
      <c r="I40">
        <v>66.77</v>
      </c>
      <c r="J40">
        <v>40</v>
      </c>
      <c r="K40">
        <v>2.23</v>
      </c>
      <c r="L40" s="1"/>
      <c r="M40">
        <v>18</v>
      </c>
      <c r="N40">
        <v>223</v>
      </c>
      <c r="O40">
        <v>7</v>
      </c>
      <c r="P40">
        <v>23</v>
      </c>
      <c r="Q40">
        <v>2</v>
      </c>
      <c r="R40">
        <v>0</v>
      </c>
      <c r="S40">
        <v>100</v>
      </c>
      <c r="T40" s="1">
        <v>201</v>
      </c>
      <c r="U40">
        <v>100.5</v>
      </c>
      <c r="V40">
        <v>100.5</v>
      </c>
      <c r="W40">
        <v>2</v>
      </c>
      <c r="X40">
        <v>1</v>
      </c>
      <c r="Y40" s="1">
        <v>101</v>
      </c>
      <c r="Z40">
        <v>2.7</v>
      </c>
      <c r="AA40">
        <v>74</v>
      </c>
      <c r="AB40">
        <v>2</v>
      </c>
      <c r="AC40">
        <v>2</v>
      </c>
      <c r="AD40">
        <v>20</v>
      </c>
      <c r="AE40">
        <v>85</v>
      </c>
      <c r="AF40">
        <v>15</v>
      </c>
      <c r="AG40" s="1">
        <v>2885</v>
      </c>
      <c r="AH40">
        <v>144.25</v>
      </c>
      <c r="AI40">
        <v>68.36</v>
      </c>
      <c r="AJ40">
        <v>42</v>
      </c>
      <c r="AK40">
        <v>2.11</v>
      </c>
      <c r="AL40" s="1">
        <v>289</v>
      </c>
      <c r="AM40">
        <v>14.2</v>
      </c>
      <c r="AN40">
        <v>297</v>
      </c>
      <c r="AO40">
        <v>10</v>
      </c>
      <c r="AP40">
        <v>25</v>
      </c>
      <c r="AQ40">
        <v>35</v>
      </c>
      <c r="AR40">
        <v>0</v>
      </c>
      <c r="AS40">
        <v>3</v>
      </c>
      <c r="AT40">
        <v>151</v>
      </c>
    </row>
    <row r="41" spans="1:46" x14ac:dyDescent="0.25">
      <c r="A41" s="3" t="s">
        <v>175</v>
      </c>
      <c r="B41" t="s">
        <v>331</v>
      </c>
      <c r="C41" s="2">
        <v>44398</v>
      </c>
      <c r="D41">
        <v>275</v>
      </c>
      <c r="E41">
        <v>96.3</v>
      </c>
      <c r="F41">
        <v>3.7</v>
      </c>
      <c r="G41" s="1">
        <v>77767</v>
      </c>
      <c r="H41">
        <v>282.79000000000002</v>
      </c>
      <c r="I41">
        <v>28.75</v>
      </c>
      <c r="J41" s="1">
        <v>2704</v>
      </c>
      <c r="K41">
        <v>9.84</v>
      </c>
      <c r="L41" s="1"/>
      <c r="M41">
        <v>52.3</v>
      </c>
      <c r="N41" s="1">
        <v>5169</v>
      </c>
      <c r="O41">
        <v>167</v>
      </c>
      <c r="P41">
        <v>300</v>
      </c>
      <c r="Q41">
        <v>24</v>
      </c>
      <c r="R41">
        <v>16.600000000000001</v>
      </c>
      <c r="S41">
        <v>83.4</v>
      </c>
      <c r="T41" s="1">
        <v>2748</v>
      </c>
      <c r="U41">
        <v>114.5</v>
      </c>
      <c r="V41">
        <v>46.58</v>
      </c>
      <c r="W41">
        <v>58</v>
      </c>
      <c r="X41">
        <v>2.46</v>
      </c>
      <c r="Y41" s="1">
        <v>916</v>
      </c>
      <c r="Z41">
        <v>55.1</v>
      </c>
      <c r="AA41">
        <v>107</v>
      </c>
      <c r="AB41">
        <v>3</v>
      </c>
      <c r="AC41">
        <v>24</v>
      </c>
      <c r="AD41">
        <v>299</v>
      </c>
      <c r="AE41">
        <v>89.9</v>
      </c>
      <c r="AF41">
        <v>10.1</v>
      </c>
      <c r="AG41" s="1">
        <v>80515</v>
      </c>
      <c r="AH41">
        <v>269.27999999999997</v>
      </c>
      <c r="AI41">
        <v>29.13</v>
      </c>
      <c r="AJ41" s="1">
        <v>2763</v>
      </c>
      <c r="AK41">
        <v>9.24</v>
      </c>
      <c r="AL41" s="1">
        <v>474</v>
      </c>
      <c r="AM41">
        <v>52.3</v>
      </c>
      <c r="AN41" s="1">
        <v>5276</v>
      </c>
      <c r="AO41">
        <v>170</v>
      </c>
      <c r="AP41">
        <v>324</v>
      </c>
      <c r="AQ41" s="1">
        <v>1617</v>
      </c>
      <c r="AR41">
        <v>0</v>
      </c>
      <c r="AS41" s="1">
        <v>2007</v>
      </c>
      <c r="AT41" s="1">
        <v>1936</v>
      </c>
    </row>
    <row r="42" spans="1:46" x14ac:dyDescent="0.25">
      <c r="A42" s="3" t="s">
        <v>171</v>
      </c>
      <c r="B42" t="s">
        <v>379</v>
      </c>
      <c r="C42" s="2">
        <v>44398</v>
      </c>
      <c r="D42">
        <v>1</v>
      </c>
      <c r="E42">
        <v>100</v>
      </c>
      <c r="F42">
        <v>0</v>
      </c>
      <c r="G42" s="1">
        <v>105</v>
      </c>
      <c r="H42">
        <v>105</v>
      </c>
      <c r="I42">
        <v>35.590000000000003</v>
      </c>
      <c r="J42" s="1">
        <v>2</v>
      </c>
      <c r="K42">
        <v>2.95</v>
      </c>
      <c r="L42" s="1"/>
      <c r="M42">
        <v>6.1</v>
      </c>
      <c r="N42" s="1">
        <v>48</v>
      </c>
      <c r="O42">
        <v>2</v>
      </c>
      <c r="P42">
        <v>1</v>
      </c>
      <c r="Q42">
        <v>0</v>
      </c>
      <c r="R42">
        <v>0</v>
      </c>
      <c r="S42">
        <v>0</v>
      </c>
      <c r="T42" s="1">
        <v>0</v>
      </c>
      <c r="U42">
        <v>0</v>
      </c>
      <c r="V42">
        <v>0</v>
      </c>
      <c r="W42">
        <v>0</v>
      </c>
      <c r="X42">
        <v>0</v>
      </c>
      <c r="Y42" s="1">
        <v>0</v>
      </c>
      <c r="Z42">
        <v>0</v>
      </c>
      <c r="AA42">
        <v>10</v>
      </c>
      <c r="AB42">
        <v>0</v>
      </c>
      <c r="AC42">
        <v>0</v>
      </c>
      <c r="AD42">
        <v>1</v>
      </c>
      <c r="AE42">
        <v>100</v>
      </c>
      <c r="AF42">
        <v>0</v>
      </c>
      <c r="AG42" s="1">
        <v>105</v>
      </c>
      <c r="AH42">
        <v>105</v>
      </c>
      <c r="AI42">
        <v>35.590000000000003</v>
      </c>
      <c r="AJ42" s="1">
        <v>2</v>
      </c>
      <c r="AK42">
        <v>2.95</v>
      </c>
      <c r="AL42" s="1">
        <v>53</v>
      </c>
      <c r="AM42">
        <v>5</v>
      </c>
      <c r="AN42" s="1">
        <v>58</v>
      </c>
      <c r="AO42">
        <v>2</v>
      </c>
      <c r="AP42">
        <v>1</v>
      </c>
      <c r="AQ42" s="1">
        <v>0</v>
      </c>
      <c r="AR42">
        <v>0</v>
      </c>
      <c r="AS42" s="1">
        <v>0</v>
      </c>
      <c r="AT42" s="1">
        <v>0</v>
      </c>
    </row>
    <row r="43" spans="1:46" x14ac:dyDescent="0.25">
      <c r="A43" s="3" t="s">
        <v>173</v>
      </c>
      <c r="B43" t="s">
        <v>332</v>
      </c>
      <c r="C43" s="2">
        <v>44398</v>
      </c>
      <c r="D43">
        <v>232</v>
      </c>
      <c r="E43">
        <v>96.1</v>
      </c>
      <c r="F43">
        <v>3.9</v>
      </c>
      <c r="G43" s="1">
        <v>41617</v>
      </c>
      <c r="H43">
        <v>179.38</v>
      </c>
      <c r="I43">
        <v>44.46</v>
      </c>
      <c r="J43" s="1">
        <v>935</v>
      </c>
      <c r="K43">
        <v>4.03</v>
      </c>
      <c r="L43" s="1"/>
      <c r="M43">
        <v>45.4</v>
      </c>
      <c r="N43" s="1">
        <v>2060</v>
      </c>
      <c r="O43">
        <v>66</v>
      </c>
      <c r="P43">
        <v>264</v>
      </c>
      <c r="Q43">
        <v>17</v>
      </c>
      <c r="R43">
        <v>35.200000000000003</v>
      </c>
      <c r="S43">
        <v>64.8</v>
      </c>
      <c r="T43" s="1">
        <v>1341</v>
      </c>
      <c r="U43">
        <v>78.88</v>
      </c>
      <c r="V43">
        <v>72.45</v>
      </c>
      <c r="W43">
        <v>18</v>
      </c>
      <c r="X43">
        <v>1.0900000000000001</v>
      </c>
      <c r="Y43" s="1">
        <v>447</v>
      </c>
      <c r="Z43">
        <v>18.100000000000001</v>
      </c>
      <c r="AA43">
        <v>102</v>
      </c>
      <c r="AB43">
        <v>3</v>
      </c>
      <c r="AC43">
        <v>13</v>
      </c>
      <c r="AD43">
        <v>249</v>
      </c>
      <c r="AE43">
        <v>91.9</v>
      </c>
      <c r="AF43">
        <v>8.1</v>
      </c>
      <c r="AG43" s="1">
        <v>42958</v>
      </c>
      <c r="AH43">
        <v>172.52</v>
      </c>
      <c r="AI43">
        <v>45.01</v>
      </c>
      <c r="AJ43" s="1">
        <v>954</v>
      </c>
      <c r="AK43">
        <v>3.83</v>
      </c>
      <c r="AL43" s="1">
        <v>614</v>
      </c>
      <c r="AM43">
        <v>44.1</v>
      </c>
      <c r="AN43" s="1">
        <v>2162</v>
      </c>
      <c r="AO43">
        <v>70</v>
      </c>
      <c r="AP43">
        <v>277</v>
      </c>
      <c r="AQ43" s="1">
        <v>1744</v>
      </c>
      <c r="AR43">
        <v>0</v>
      </c>
      <c r="AS43" s="1">
        <v>303</v>
      </c>
      <c r="AT43" s="1">
        <v>1082</v>
      </c>
    </row>
    <row r="44" spans="1:46" x14ac:dyDescent="0.25">
      <c r="A44" s="3" t="s">
        <v>181</v>
      </c>
      <c r="B44" s="9" t="s">
        <v>182</v>
      </c>
      <c r="C44" s="2">
        <v>44398</v>
      </c>
      <c r="D44">
        <v>88</v>
      </c>
      <c r="E44">
        <v>90.9</v>
      </c>
      <c r="F44">
        <v>9.1</v>
      </c>
      <c r="G44" s="1">
        <v>23492</v>
      </c>
      <c r="H44">
        <v>266.95</v>
      </c>
      <c r="I44">
        <v>27.82</v>
      </c>
      <c r="J44" s="1">
        <v>844</v>
      </c>
      <c r="K44">
        <v>9.59</v>
      </c>
      <c r="L44" s="1"/>
      <c r="M44">
        <v>61.9</v>
      </c>
      <c r="N44" s="1">
        <v>1363</v>
      </c>
      <c r="O44">
        <v>44</v>
      </c>
      <c r="P44">
        <v>85</v>
      </c>
      <c r="Q44">
        <v>14</v>
      </c>
      <c r="R44">
        <v>21.4</v>
      </c>
      <c r="S44">
        <v>78.599999999999994</v>
      </c>
      <c r="T44" s="1">
        <v>1028</v>
      </c>
      <c r="U44" s="31">
        <v>73.430000000000007</v>
      </c>
      <c r="V44">
        <v>43.63</v>
      </c>
      <c r="W44">
        <v>23</v>
      </c>
      <c r="X44">
        <v>1.68</v>
      </c>
      <c r="Y44" s="1">
        <v>343</v>
      </c>
      <c r="Z44">
        <v>30.2</v>
      </c>
      <c r="AA44">
        <v>78</v>
      </c>
      <c r="AB44">
        <v>3</v>
      </c>
      <c r="AC44">
        <v>14</v>
      </c>
      <c r="AD44">
        <v>102</v>
      </c>
      <c r="AE44">
        <v>81.3</v>
      </c>
      <c r="AF44">
        <v>18.7</v>
      </c>
      <c r="AG44" s="1">
        <v>24520</v>
      </c>
      <c r="AH44">
        <v>240.39</v>
      </c>
      <c r="AI44">
        <v>28.25</v>
      </c>
      <c r="AJ44" s="1">
        <v>867</v>
      </c>
      <c r="AK44">
        <v>8.51</v>
      </c>
      <c r="AL44" s="1">
        <v>533</v>
      </c>
      <c r="AM44">
        <v>60.2</v>
      </c>
      <c r="AN44" s="1">
        <v>1441</v>
      </c>
      <c r="AO44">
        <v>46</v>
      </c>
      <c r="AP44">
        <v>99</v>
      </c>
      <c r="AQ44">
        <v>160</v>
      </c>
      <c r="AR44">
        <v>0</v>
      </c>
      <c r="AS44" s="1">
        <v>795</v>
      </c>
      <c r="AT44" s="1">
        <v>1378</v>
      </c>
    </row>
    <row r="45" spans="1:46" x14ac:dyDescent="0.25">
      <c r="A45" s="3" t="s">
        <v>183</v>
      </c>
      <c r="B45" t="s">
        <v>184</v>
      </c>
      <c r="C45" s="2">
        <v>44398</v>
      </c>
      <c r="D45">
        <v>8</v>
      </c>
      <c r="E45">
        <v>87.5</v>
      </c>
      <c r="F45">
        <v>12.5</v>
      </c>
      <c r="G45" s="1">
        <v>2387</v>
      </c>
      <c r="H45">
        <v>298.38</v>
      </c>
      <c r="I45">
        <v>35.42</v>
      </c>
      <c r="J45">
        <v>67</v>
      </c>
      <c r="K45">
        <v>8.43</v>
      </c>
      <c r="L45" s="1"/>
      <c r="M45">
        <v>64.8</v>
      </c>
      <c r="N45">
        <v>104</v>
      </c>
      <c r="O45">
        <v>3</v>
      </c>
      <c r="P45">
        <v>10</v>
      </c>
      <c r="Q45">
        <v>1</v>
      </c>
      <c r="R45">
        <v>0</v>
      </c>
      <c r="S45">
        <v>100</v>
      </c>
      <c r="T45">
        <v>179</v>
      </c>
      <c r="U45">
        <v>179</v>
      </c>
      <c r="V45">
        <v>73.06</v>
      </c>
      <c r="W45">
        <v>2</v>
      </c>
      <c r="X45">
        <v>2.4500000000000002</v>
      </c>
      <c r="Y45" s="1">
        <v>0</v>
      </c>
      <c r="Z45">
        <v>40.799999999999997</v>
      </c>
      <c r="AA45">
        <v>6</v>
      </c>
      <c r="AB45">
        <v>0</v>
      </c>
      <c r="AC45">
        <v>1</v>
      </c>
      <c r="AD45">
        <v>9</v>
      </c>
      <c r="AE45">
        <v>77.7</v>
      </c>
      <c r="AF45">
        <v>22.3</v>
      </c>
      <c r="AG45" s="1">
        <v>2566</v>
      </c>
      <c r="AH45">
        <v>285.11</v>
      </c>
      <c r="AI45">
        <v>36.74</v>
      </c>
      <c r="AJ45">
        <v>69</v>
      </c>
      <c r="AK45">
        <v>7.76</v>
      </c>
      <c r="AL45" s="1">
        <v>642</v>
      </c>
      <c r="AM45">
        <v>63.5</v>
      </c>
      <c r="AN45">
        <v>110</v>
      </c>
      <c r="AO45">
        <v>4</v>
      </c>
      <c r="AP45">
        <v>11</v>
      </c>
      <c r="AQ45">
        <v>42</v>
      </c>
      <c r="AR45">
        <v>0</v>
      </c>
      <c r="AS45">
        <v>106</v>
      </c>
      <c r="AT45">
        <v>133</v>
      </c>
    </row>
    <row r="46" spans="1:46" x14ac:dyDescent="0.25">
      <c r="A46" s="3" t="s">
        <v>160</v>
      </c>
      <c r="B46" t="s">
        <v>161</v>
      </c>
      <c r="C46" s="2">
        <v>44398</v>
      </c>
      <c r="D46">
        <v>143</v>
      </c>
      <c r="E46">
        <v>97.2</v>
      </c>
      <c r="F46">
        <v>2.8</v>
      </c>
      <c r="G46" s="1">
        <v>29853</v>
      </c>
      <c r="H46">
        <v>208.76</v>
      </c>
      <c r="I46">
        <v>35.200000000000003</v>
      </c>
      <c r="J46" s="1">
        <v>848</v>
      </c>
      <c r="K46">
        <v>5.93</v>
      </c>
      <c r="L46" s="1"/>
      <c r="M46">
        <v>48.4</v>
      </c>
      <c r="N46" s="1">
        <v>1754</v>
      </c>
      <c r="O46">
        <v>57</v>
      </c>
      <c r="P46">
        <v>127</v>
      </c>
      <c r="Q46">
        <v>19</v>
      </c>
      <c r="R46">
        <v>21</v>
      </c>
      <c r="S46">
        <v>79</v>
      </c>
      <c r="T46" s="1">
        <v>1591</v>
      </c>
      <c r="U46">
        <v>83.74</v>
      </c>
      <c r="V46">
        <v>42.28</v>
      </c>
      <c r="W46">
        <v>37</v>
      </c>
      <c r="X46">
        <v>1.98</v>
      </c>
      <c r="Y46" s="1">
        <v>530</v>
      </c>
      <c r="Z46">
        <v>44.8</v>
      </c>
      <c r="AA46">
        <v>84</v>
      </c>
      <c r="AB46">
        <v>3</v>
      </c>
      <c r="AC46">
        <v>18</v>
      </c>
      <c r="AD46">
        <v>162</v>
      </c>
      <c r="AE46">
        <v>88.2</v>
      </c>
      <c r="AF46">
        <v>11.8</v>
      </c>
      <c r="AG46" s="1">
        <v>31444</v>
      </c>
      <c r="AH46">
        <v>194.1</v>
      </c>
      <c r="AI46">
        <v>35.5</v>
      </c>
      <c r="AJ46" s="1">
        <v>885</v>
      </c>
      <c r="AK46">
        <v>5.47</v>
      </c>
      <c r="AL46" s="1">
        <v>533</v>
      </c>
      <c r="AM46">
        <v>48.1</v>
      </c>
      <c r="AN46" s="1">
        <v>1838</v>
      </c>
      <c r="AO46">
        <v>59</v>
      </c>
      <c r="AP46">
        <v>145</v>
      </c>
      <c r="AQ46" s="1">
        <v>1042</v>
      </c>
      <c r="AR46">
        <v>9</v>
      </c>
      <c r="AS46" s="1">
        <v>868</v>
      </c>
      <c r="AT46" s="1">
        <v>790</v>
      </c>
    </row>
    <row r="47" spans="1:46" x14ac:dyDescent="0.25">
      <c r="A47" s="3" t="s">
        <v>162</v>
      </c>
      <c r="B47" t="s">
        <v>163</v>
      </c>
      <c r="C47" s="2">
        <v>44398</v>
      </c>
      <c r="D47">
        <v>2</v>
      </c>
      <c r="E47">
        <v>100</v>
      </c>
      <c r="F47">
        <v>0</v>
      </c>
      <c r="G47" s="1">
        <v>185</v>
      </c>
      <c r="H47">
        <v>92.5</v>
      </c>
      <c r="I47">
        <v>32.69</v>
      </c>
      <c r="J47" s="1">
        <v>5</v>
      </c>
      <c r="K47">
        <v>2.83</v>
      </c>
      <c r="L47" s="1"/>
      <c r="M47">
        <v>33.299999999999997</v>
      </c>
      <c r="N47" s="1">
        <v>17</v>
      </c>
      <c r="O47">
        <v>1</v>
      </c>
      <c r="P47">
        <v>3</v>
      </c>
      <c r="Q47">
        <v>4</v>
      </c>
      <c r="R47">
        <v>25</v>
      </c>
      <c r="S47">
        <v>75</v>
      </c>
      <c r="T47" s="1">
        <v>420</v>
      </c>
      <c r="U47">
        <v>105</v>
      </c>
      <c r="V47">
        <v>46.31</v>
      </c>
      <c r="W47">
        <v>9</v>
      </c>
      <c r="X47">
        <v>2.27</v>
      </c>
      <c r="Y47" s="1">
        <v>0</v>
      </c>
      <c r="Z47">
        <v>75.599999999999994</v>
      </c>
      <c r="AA47">
        <v>12</v>
      </c>
      <c r="AB47">
        <v>0</v>
      </c>
      <c r="AC47">
        <v>4</v>
      </c>
      <c r="AD47">
        <v>6</v>
      </c>
      <c r="AE47">
        <v>50</v>
      </c>
      <c r="AF47">
        <v>50</v>
      </c>
      <c r="AG47" s="1">
        <v>605</v>
      </c>
      <c r="AH47">
        <v>100.83</v>
      </c>
      <c r="AI47">
        <v>41.07</v>
      </c>
      <c r="AJ47" s="1">
        <v>14</v>
      </c>
      <c r="AK47">
        <v>2.46</v>
      </c>
      <c r="AL47" s="1">
        <v>605</v>
      </c>
      <c r="AM47">
        <v>50.7</v>
      </c>
      <c r="AN47" s="1">
        <v>29</v>
      </c>
      <c r="AO47">
        <v>1</v>
      </c>
      <c r="AP47">
        <v>7</v>
      </c>
      <c r="AQ47">
        <v>63</v>
      </c>
      <c r="AR47">
        <v>0</v>
      </c>
      <c r="AS47" s="1">
        <v>0</v>
      </c>
      <c r="AT47" s="1">
        <v>116</v>
      </c>
    </row>
    <row r="48" spans="1:46" x14ac:dyDescent="0.25">
      <c r="A48" s="3" t="s">
        <v>196</v>
      </c>
      <c r="B48" s="9" t="s">
        <v>197</v>
      </c>
      <c r="C48" s="2">
        <v>44398</v>
      </c>
      <c r="D48">
        <v>50</v>
      </c>
      <c r="E48">
        <v>94</v>
      </c>
      <c r="F48">
        <v>6</v>
      </c>
      <c r="G48" s="1">
        <v>8063</v>
      </c>
      <c r="H48">
        <v>161.26</v>
      </c>
      <c r="I48">
        <v>33.130000000000003</v>
      </c>
      <c r="J48" s="1">
        <v>243</v>
      </c>
      <c r="K48">
        <v>4.87</v>
      </c>
      <c r="L48" s="1"/>
      <c r="M48">
        <v>43</v>
      </c>
      <c r="N48" s="1">
        <v>566</v>
      </c>
      <c r="O48">
        <v>18</v>
      </c>
      <c r="P48">
        <v>72</v>
      </c>
      <c r="Q48">
        <v>9</v>
      </c>
      <c r="R48">
        <v>33.299999999999997</v>
      </c>
      <c r="S48">
        <v>66.7</v>
      </c>
      <c r="T48" s="1">
        <v>598</v>
      </c>
      <c r="U48">
        <v>66.44</v>
      </c>
      <c r="V48">
        <v>43.27</v>
      </c>
      <c r="W48">
        <v>13</v>
      </c>
      <c r="X48">
        <v>1.54</v>
      </c>
      <c r="Y48" s="1">
        <v>598</v>
      </c>
      <c r="Z48">
        <v>76.8</v>
      </c>
      <c r="AA48">
        <v>18</v>
      </c>
      <c r="AB48">
        <v>1</v>
      </c>
      <c r="AC48">
        <v>8</v>
      </c>
      <c r="AD48">
        <v>59</v>
      </c>
      <c r="AE48">
        <v>84.7</v>
      </c>
      <c r="AF48">
        <v>15.3</v>
      </c>
      <c r="AG48" s="1">
        <v>8661</v>
      </c>
      <c r="AH48">
        <v>146.80000000000001</v>
      </c>
      <c r="AI48">
        <v>33.67</v>
      </c>
      <c r="AJ48" s="1">
        <v>257</v>
      </c>
      <c r="AK48">
        <v>4.3600000000000003</v>
      </c>
      <c r="AL48" s="1">
        <v>456</v>
      </c>
      <c r="AM48">
        <v>44</v>
      </c>
      <c r="AN48" s="1">
        <v>584</v>
      </c>
      <c r="AO48">
        <v>19</v>
      </c>
      <c r="AP48">
        <v>80</v>
      </c>
      <c r="AQ48">
        <v>192</v>
      </c>
      <c r="AR48">
        <v>0</v>
      </c>
      <c r="AS48">
        <v>802</v>
      </c>
      <c r="AT48" s="1">
        <v>831</v>
      </c>
    </row>
    <row r="49" spans="1:46" x14ac:dyDescent="0.25">
      <c r="A49" s="3" t="s">
        <v>198</v>
      </c>
      <c r="B49" s="9" t="s">
        <v>199</v>
      </c>
      <c r="C49" s="36">
        <v>44398</v>
      </c>
      <c r="D49">
        <v>74</v>
      </c>
      <c r="E49">
        <v>94.5</v>
      </c>
      <c r="F49">
        <v>5.5</v>
      </c>
      <c r="G49" s="1">
        <v>9728</v>
      </c>
      <c r="H49">
        <v>131.46</v>
      </c>
      <c r="I49">
        <v>49.33</v>
      </c>
      <c r="J49">
        <v>197</v>
      </c>
      <c r="K49">
        <v>2.67</v>
      </c>
      <c r="L49" s="1"/>
      <c r="M49">
        <v>46.4</v>
      </c>
      <c r="N49" s="1">
        <v>425</v>
      </c>
      <c r="O49">
        <v>14</v>
      </c>
      <c r="P49">
        <v>70</v>
      </c>
      <c r="Q49">
        <v>3</v>
      </c>
      <c r="R49">
        <v>66.599999999999994</v>
      </c>
      <c r="S49">
        <v>33.4</v>
      </c>
      <c r="T49" s="1">
        <v>99</v>
      </c>
      <c r="U49">
        <v>33</v>
      </c>
      <c r="V49">
        <v>55.31</v>
      </c>
      <c r="W49">
        <v>1</v>
      </c>
      <c r="X49">
        <v>0.6</v>
      </c>
      <c r="Y49" s="1">
        <v>0</v>
      </c>
      <c r="Z49">
        <v>29.8</v>
      </c>
      <c r="AA49">
        <v>6</v>
      </c>
      <c r="AB49">
        <v>0</v>
      </c>
      <c r="AC49">
        <v>2</v>
      </c>
      <c r="AD49">
        <v>77</v>
      </c>
      <c r="AE49">
        <v>93.5</v>
      </c>
      <c r="AF49">
        <v>6.5</v>
      </c>
      <c r="AG49" s="1">
        <v>9827</v>
      </c>
      <c r="AH49">
        <v>127.62</v>
      </c>
      <c r="AI49">
        <v>49.38</v>
      </c>
      <c r="AJ49">
        <v>199</v>
      </c>
      <c r="AK49">
        <v>2.58</v>
      </c>
      <c r="AL49" s="1">
        <v>702</v>
      </c>
      <c r="AM49">
        <v>46.1</v>
      </c>
      <c r="AN49" s="1">
        <v>431</v>
      </c>
      <c r="AO49">
        <v>14</v>
      </c>
      <c r="AP49">
        <v>72</v>
      </c>
      <c r="AQ49" s="1">
        <v>247</v>
      </c>
      <c r="AR49">
        <v>0</v>
      </c>
      <c r="AS49">
        <v>147</v>
      </c>
      <c r="AT49" s="1">
        <v>129</v>
      </c>
    </row>
    <row r="50" spans="1:46" x14ac:dyDescent="0.25">
      <c r="A50" s="3" t="s">
        <v>166</v>
      </c>
      <c r="B50" s="9" t="s">
        <v>167</v>
      </c>
      <c r="C50" s="2">
        <v>44398</v>
      </c>
      <c r="D50">
        <v>63</v>
      </c>
      <c r="E50">
        <v>95.2</v>
      </c>
      <c r="F50">
        <v>4.8</v>
      </c>
      <c r="G50" s="1">
        <v>10401</v>
      </c>
      <c r="H50">
        <v>165.1</v>
      </c>
      <c r="I50">
        <v>33.950000000000003</v>
      </c>
      <c r="J50">
        <v>306</v>
      </c>
      <c r="K50">
        <v>4.8600000000000003</v>
      </c>
      <c r="L50" s="1"/>
      <c r="M50">
        <v>33.799999999999997</v>
      </c>
      <c r="N50" s="1">
        <v>905</v>
      </c>
      <c r="O50">
        <v>29</v>
      </c>
      <c r="P50">
        <v>66</v>
      </c>
      <c r="Q50">
        <v>15</v>
      </c>
      <c r="R50">
        <v>26.6</v>
      </c>
      <c r="S50">
        <v>73.400000000000006</v>
      </c>
      <c r="T50" s="1">
        <v>1263</v>
      </c>
      <c r="U50">
        <v>84.2</v>
      </c>
      <c r="V50">
        <v>51.61</v>
      </c>
      <c r="W50">
        <v>24</v>
      </c>
      <c r="X50">
        <v>1.63</v>
      </c>
      <c r="Y50" s="1">
        <v>632</v>
      </c>
      <c r="Z50">
        <v>43.7</v>
      </c>
      <c r="AA50">
        <v>56</v>
      </c>
      <c r="AB50">
        <v>2</v>
      </c>
      <c r="AC50">
        <v>14</v>
      </c>
      <c r="AD50">
        <v>78</v>
      </c>
      <c r="AE50">
        <v>82</v>
      </c>
      <c r="AF50">
        <v>18</v>
      </c>
      <c r="AG50" s="1">
        <v>11664</v>
      </c>
      <c r="AH50">
        <v>149.54</v>
      </c>
      <c r="AI50">
        <v>35.26</v>
      </c>
      <c r="AJ50">
        <v>330</v>
      </c>
      <c r="AK50">
        <v>4.24</v>
      </c>
      <c r="AL50" s="1">
        <v>376</v>
      </c>
      <c r="AM50">
        <v>34.4</v>
      </c>
      <c r="AN50" s="1">
        <v>961</v>
      </c>
      <c r="AO50">
        <v>31</v>
      </c>
      <c r="AP50">
        <v>80</v>
      </c>
      <c r="AQ50">
        <v>1098</v>
      </c>
      <c r="AR50">
        <v>0</v>
      </c>
      <c r="AS50">
        <v>508</v>
      </c>
      <c r="AT50" s="1">
        <v>985</v>
      </c>
    </row>
    <row r="51" spans="1:46" x14ac:dyDescent="0.25">
      <c r="A51" s="3" t="s">
        <v>168</v>
      </c>
      <c r="B51" t="s">
        <v>333</v>
      </c>
      <c r="C51" s="2">
        <v>44398</v>
      </c>
      <c r="D51">
        <v>76</v>
      </c>
      <c r="E51">
        <v>93.4</v>
      </c>
      <c r="F51">
        <v>6.6</v>
      </c>
      <c r="G51" s="1">
        <v>11252</v>
      </c>
      <c r="H51">
        <v>148.05000000000001</v>
      </c>
      <c r="I51">
        <v>43.67</v>
      </c>
      <c r="J51">
        <v>257</v>
      </c>
      <c r="K51">
        <v>3.39</v>
      </c>
      <c r="L51" s="1"/>
      <c r="M51">
        <v>40.200000000000003</v>
      </c>
      <c r="N51" s="1">
        <v>641</v>
      </c>
      <c r="O51">
        <v>21</v>
      </c>
      <c r="P51">
        <v>76</v>
      </c>
      <c r="Q51">
        <v>9</v>
      </c>
      <c r="R51">
        <v>77.7</v>
      </c>
      <c r="S51">
        <v>22.3</v>
      </c>
      <c r="T51" s="1">
        <v>918</v>
      </c>
      <c r="U51">
        <v>102</v>
      </c>
      <c r="V51">
        <v>50.77</v>
      </c>
      <c r="W51">
        <v>18</v>
      </c>
      <c r="X51">
        <v>2.0099999999999998</v>
      </c>
      <c r="Y51" s="1">
        <v>459</v>
      </c>
      <c r="Z51">
        <v>25.5</v>
      </c>
      <c r="AA51">
        <v>71</v>
      </c>
      <c r="AB51">
        <v>2</v>
      </c>
      <c r="AC51">
        <v>8</v>
      </c>
      <c r="AD51">
        <v>85</v>
      </c>
      <c r="AE51">
        <v>91.7</v>
      </c>
      <c r="AF51">
        <v>8.3000000000000007</v>
      </c>
      <c r="AG51" s="1">
        <v>12170</v>
      </c>
      <c r="AH51">
        <v>143.18</v>
      </c>
      <c r="AI51">
        <v>44.13</v>
      </c>
      <c r="AJ51">
        <v>275</v>
      </c>
      <c r="AK51">
        <v>3.24</v>
      </c>
      <c r="AL51" s="1">
        <v>529</v>
      </c>
      <c r="AM51">
        <v>38.700000000000003</v>
      </c>
      <c r="AN51" s="1">
        <v>712</v>
      </c>
      <c r="AO51">
        <v>23</v>
      </c>
      <c r="AP51">
        <v>84</v>
      </c>
      <c r="AQ51">
        <v>291</v>
      </c>
      <c r="AR51">
        <v>0</v>
      </c>
      <c r="AS51">
        <v>146</v>
      </c>
      <c r="AT51">
        <v>300</v>
      </c>
    </row>
    <row r="52" spans="1:46" x14ac:dyDescent="0.25">
      <c r="A52" s="3" t="s">
        <v>178</v>
      </c>
      <c r="B52" t="s">
        <v>334</v>
      </c>
      <c r="C52" s="2">
        <v>44398</v>
      </c>
      <c r="D52">
        <v>49</v>
      </c>
      <c r="E52">
        <v>93.8</v>
      </c>
      <c r="F52">
        <v>6.2</v>
      </c>
      <c r="G52" s="1">
        <v>11039</v>
      </c>
      <c r="H52">
        <v>225.29</v>
      </c>
      <c r="I52">
        <v>30.21</v>
      </c>
      <c r="J52" s="1">
        <v>365</v>
      </c>
      <c r="K52">
        <v>7.46</v>
      </c>
      <c r="L52" s="1"/>
      <c r="M52">
        <v>53.4</v>
      </c>
      <c r="N52" s="1">
        <v>684</v>
      </c>
      <c r="O52">
        <v>22</v>
      </c>
      <c r="P52">
        <v>41</v>
      </c>
      <c r="Q52">
        <v>1</v>
      </c>
      <c r="R52">
        <v>0</v>
      </c>
      <c r="S52">
        <v>100</v>
      </c>
      <c r="T52" s="1">
        <v>88</v>
      </c>
      <c r="U52">
        <v>88</v>
      </c>
      <c r="V52">
        <v>29.83</v>
      </c>
      <c r="W52">
        <v>2</v>
      </c>
      <c r="X52">
        <v>2.95</v>
      </c>
      <c r="Y52" s="1">
        <v>0</v>
      </c>
      <c r="Z52">
        <v>295</v>
      </c>
      <c r="AA52">
        <v>1</v>
      </c>
      <c r="AB52">
        <v>0</v>
      </c>
      <c r="AC52">
        <v>0</v>
      </c>
      <c r="AD52">
        <v>50</v>
      </c>
      <c r="AE52">
        <v>92</v>
      </c>
      <c r="AF52">
        <v>8</v>
      </c>
      <c r="AG52" s="1">
        <v>11127</v>
      </c>
      <c r="AH52">
        <v>222.54</v>
      </c>
      <c r="AI52">
        <v>30.2</v>
      </c>
      <c r="AJ52" s="1">
        <v>368</v>
      </c>
      <c r="AK52">
        <v>7.37</v>
      </c>
      <c r="AL52" s="1">
        <v>506</v>
      </c>
      <c r="AM52">
        <v>53.7</v>
      </c>
      <c r="AN52" s="1">
        <v>685</v>
      </c>
      <c r="AO52">
        <v>22</v>
      </c>
      <c r="AP52">
        <v>41</v>
      </c>
      <c r="AQ52">
        <v>0</v>
      </c>
      <c r="AR52">
        <v>0</v>
      </c>
      <c r="AS52" s="1">
        <v>301</v>
      </c>
      <c r="AT52" s="1">
        <v>176</v>
      </c>
    </row>
    <row r="53" spans="1:46" x14ac:dyDescent="0.25">
      <c r="A53" s="3" t="s">
        <v>222</v>
      </c>
      <c r="B53" t="s">
        <v>335</v>
      </c>
      <c r="C53" s="2">
        <v>44398</v>
      </c>
      <c r="D53">
        <v>177</v>
      </c>
      <c r="E53">
        <v>100</v>
      </c>
      <c r="F53">
        <v>0</v>
      </c>
      <c r="G53" s="1">
        <v>66705</v>
      </c>
      <c r="H53">
        <v>376.86</v>
      </c>
      <c r="I53">
        <v>33.75</v>
      </c>
      <c r="J53" s="1">
        <v>1976</v>
      </c>
      <c r="K53">
        <v>11.17</v>
      </c>
      <c r="L53" s="1"/>
      <c r="M53">
        <v>76.599999999999994</v>
      </c>
      <c r="N53" s="1">
        <v>2579</v>
      </c>
      <c r="O53">
        <v>83</v>
      </c>
      <c r="P53">
        <v>156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3</v>
      </c>
      <c r="AB53">
        <v>0</v>
      </c>
      <c r="AC53">
        <v>0</v>
      </c>
      <c r="AD53">
        <v>177</v>
      </c>
      <c r="AE53">
        <v>100</v>
      </c>
      <c r="AF53">
        <v>0</v>
      </c>
      <c r="AG53" s="1">
        <v>66705</v>
      </c>
      <c r="AH53">
        <v>376.86</v>
      </c>
      <c r="AI53">
        <v>33.75</v>
      </c>
      <c r="AJ53" s="1">
        <v>1976</v>
      </c>
      <c r="AK53">
        <v>11.17</v>
      </c>
      <c r="AL53" s="1">
        <v>804</v>
      </c>
      <c r="AM53">
        <v>76.5</v>
      </c>
      <c r="AN53" s="1">
        <v>2582</v>
      </c>
      <c r="AO53">
        <v>83</v>
      </c>
      <c r="AP53">
        <v>156</v>
      </c>
      <c r="AQ53" s="1">
        <v>829</v>
      </c>
      <c r="AR53">
        <v>147</v>
      </c>
      <c r="AS53">
        <v>476</v>
      </c>
      <c r="AT53">
        <v>0</v>
      </c>
    </row>
    <row r="54" spans="1:46" x14ac:dyDescent="0.25">
      <c r="A54" s="3" t="s">
        <v>231</v>
      </c>
      <c r="B54" t="s">
        <v>336</v>
      </c>
      <c r="C54" s="2">
        <v>44398</v>
      </c>
      <c r="D54">
        <v>8</v>
      </c>
      <c r="E54">
        <v>100</v>
      </c>
      <c r="F54">
        <v>0</v>
      </c>
      <c r="G54" s="1">
        <v>1234</v>
      </c>
      <c r="H54">
        <v>154.25</v>
      </c>
      <c r="I54">
        <v>34.729999999999997</v>
      </c>
      <c r="J54">
        <v>35</v>
      </c>
      <c r="K54">
        <v>4.4400000000000004</v>
      </c>
      <c r="L54" s="1"/>
      <c r="M54">
        <v>23.1</v>
      </c>
      <c r="N54">
        <v>154</v>
      </c>
      <c r="O54">
        <v>5</v>
      </c>
      <c r="P54">
        <v>10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8</v>
      </c>
      <c r="AE54">
        <v>100</v>
      </c>
      <c r="AF54">
        <v>0</v>
      </c>
      <c r="AG54" s="1">
        <v>1234</v>
      </c>
      <c r="AH54">
        <v>154.25</v>
      </c>
      <c r="AI54">
        <v>34.729999999999997</v>
      </c>
      <c r="AJ54">
        <v>35</v>
      </c>
      <c r="AK54">
        <v>4.4400000000000004</v>
      </c>
      <c r="AL54" s="1">
        <v>247</v>
      </c>
      <c r="AM54">
        <v>23</v>
      </c>
      <c r="AN54">
        <v>154</v>
      </c>
      <c r="AO54">
        <v>5</v>
      </c>
      <c r="AP54">
        <v>10</v>
      </c>
      <c r="AQ54">
        <v>37</v>
      </c>
      <c r="AR54">
        <v>0</v>
      </c>
      <c r="AS54">
        <v>31</v>
      </c>
      <c r="AT54">
        <v>0</v>
      </c>
    </row>
    <row r="55" spans="1:46" x14ac:dyDescent="0.25">
      <c r="A55" s="3" t="s">
        <v>223</v>
      </c>
      <c r="B55" t="s">
        <v>337</v>
      </c>
      <c r="C55" s="2">
        <v>44398</v>
      </c>
      <c r="D55">
        <v>2</v>
      </c>
      <c r="E55">
        <v>100</v>
      </c>
      <c r="F55">
        <v>0</v>
      </c>
      <c r="G55" s="1">
        <v>367</v>
      </c>
      <c r="H55">
        <v>183.5</v>
      </c>
      <c r="I55">
        <v>46.16</v>
      </c>
      <c r="J55">
        <v>7</v>
      </c>
      <c r="K55">
        <v>3.98</v>
      </c>
      <c r="L55" s="1"/>
      <c r="M55">
        <v>7.3</v>
      </c>
      <c r="N55">
        <v>109</v>
      </c>
      <c r="O55">
        <v>4</v>
      </c>
      <c r="P55">
        <v>3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2</v>
      </c>
      <c r="AE55">
        <v>100</v>
      </c>
      <c r="AF55">
        <v>0</v>
      </c>
      <c r="AG55" s="1">
        <v>367</v>
      </c>
      <c r="AH55">
        <v>183.5</v>
      </c>
      <c r="AI55">
        <v>46.16</v>
      </c>
      <c r="AJ55">
        <v>7</v>
      </c>
      <c r="AK55">
        <v>3.98</v>
      </c>
      <c r="AL55" s="1">
        <v>92</v>
      </c>
      <c r="AM55">
        <v>7.2</v>
      </c>
      <c r="AN55">
        <v>109</v>
      </c>
      <c r="AO55">
        <v>4</v>
      </c>
      <c r="AP55">
        <v>3</v>
      </c>
      <c r="AQ55">
        <v>0</v>
      </c>
      <c r="AR55">
        <v>0</v>
      </c>
      <c r="AS55">
        <v>25</v>
      </c>
      <c r="AT55">
        <v>0</v>
      </c>
    </row>
    <row r="56" spans="1:46" x14ac:dyDescent="0.25">
      <c r="A56" s="3" t="s">
        <v>226</v>
      </c>
      <c r="B56" t="s">
        <v>338</v>
      </c>
      <c r="C56" s="2">
        <v>44398</v>
      </c>
      <c r="D56">
        <v>53</v>
      </c>
      <c r="E56">
        <v>98.1</v>
      </c>
      <c r="F56">
        <v>1.9</v>
      </c>
      <c r="G56" s="1">
        <v>15452</v>
      </c>
      <c r="H56">
        <v>291.55</v>
      </c>
      <c r="I56">
        <v>46.27</v>
      </c>
      <c r="J56" s="1">
        <v>333</v>
      </c>
      <c r="K56">
        <v>6.3</v>
      </c>
      <c r="L56" s="1"/>
      <c r="M56">
        <v>57.1</v>
      </c>
      <c r="N56" s="1">
        <v>585</v>
      </c>
      <c r="O56">
        <v>19</v>
      </c>
      <c r="P56">
        <v>54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1</v>
      </c>
      <c r="AB56">
        <v>0</v>
      </c>
      <c r="AC56">
        <v>0</v>
      </c>
      <c r="AD56">
        <v>53</v>
      </c>
      <c r="AE56">
        <v>98.1</v>
      </c>
      <c r="AF56">
        <v>1.9</v>
      </c>
      <c r="AG56" s="1">
        <v>15452</v>
      </c>
      <c r="AH56">
        <v>291.55</v>
      </c>
      <c r="AI56">
        <v>46.27</v>
      </c>
      <c r="AJ56" s="1">
        <v>333</v>
      </c>
      <c r="AK56">
        <v>6.3</v>
      </c>
      <c r="AL56" s="1">
        <v>813</v>
      </c>
      <c r="AM56">
        <v>56.9</v>
      </c>
      <c r="AN56" s="1">
        <v>586</v>
      </c>
      <c r="AO56">
        <v>19</v>
      </c>
      <c r="AP56">
        <v>54</v>
      </c>
      <c r="AQ56">
        <v>834</v>
      </c>
      <c r="AR56">
        <v>0</v>
      </c>
      <c r="AS56">
        <v>137</v>
      </c>
      <c r="AT56">
        <v>0</v>
      </c>
    </row>
    <row r="57" spans="1:46" x14ac:dyDescent="0.25">
      <c r="A57" s="3" t="s">
        <v>234</v>
      </c>
      <c r="B57" t="s">
        <v>378</v>
      </c>
      <c r="C57" s="2">
        <v>44398</v>
      </c>
      <c r="D57">
        <v>5</v>
      </c>
      <c r="E57">
        <v>100</v>
      </c>
      <c r="F57">
        <v>0</v>
      </c>
      <c r="G57" s="1">
        <v>1561</v>
      </c>
      <c r="H57">
        <v>312.2</v>
      </c>
      <c r="I57">
        <v>134.34</v>
      </c>
      <c r="J57">
        <v>11</v>
      </c>
      <c r="K57">
        <v>2.3199999999999998</v>
      </c>
      <c r="L57" s="1"/>
      <c r="M57">
        <v>12.2</v>
      </c>
      <c r="N57" s="1">
        <v>95</v>
      </c>
      <c r="O57">
        <v>3</v>
      </c>
      <c r="P57">
        <v>6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5</v>
      </c>
      <c r="AE57">
        <v>100</v>
      </c>
      <c r="AF57">
        <v>0</v>
      </c>
      <c r="AG57" s="1">
        <v>1561</v>
      </c>
      <c r="AH57">
        <v>312.2</v>
      </c>
      <c r="AI57">
        <v>134.34</v>
      </c>
      <c r="AJ57">
        <v>11</v>
      </c>
      <c r="AK57">
        <v>2.3199999999999998</v>
      </c>
      <c r="AL57" s="1">
        <v>520</v>
      </c>
      <c r="AM57">
        <v>12.2</v>
      </c>
      <c r="AN57" s="1">
        <v>95</v>
      </c>
      <c r="AO57">
        <v>3</v>
      </c>
      <c r="AP57">
        <v>6</v>
      </c>
      <c r="AQ57">
        <v>0</v>
      </c>
      <c r="AR57">
        <v>0</v>
      </c>
      <c r="AS57">
        <v>0</v>
      </c>
      <c r="AT57">
        <v>0</v>
      </c>
    </row>
    <row r="58" spans="1:46" x14ac:dyDescent="0.25">
      <c r="A58" s="3" t="s">
        <v>225</v>
      </c>
      <c r="B58" t="s">
        <v>339</v>
      </c>
      <c r="C58" s="2">
        <v>44398</v>
      </c>
      <c r="D58">
        <v>55</v>
      </c>
      <c r="E58">
        <v>100</v>
      </c>
      <c r="F58">
        <v>0</v>
      </c>
      <c r="G58" s="1">
        <v>14929</v>
      </c>
      <c r="H58">
        <v>271.44</v>
      </c>
      <c r="I58">
        <v>50.67</v>
      </c>
      <c r="J58">
        <v>294</v>
      </c>
      <c r="K58">
        <v>5.36</v>
      </c>
      <c r="L58" s="1"/>
      <c r="M58">
        <v>45.1</v>
      </c>
      <c r="N58" s="1">
        <v>654</v>
      </c>
      <c r="O58">
        <v>21</v>
      </c>
      <c r="P58">
        <v>53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5</v>
      </c>
      <c r="AB58">
        <v>0</v>
      </c>
      <c r="AC58">
        <v>0</v>
      </c>
      <c r="AD58">
        <v>55</v>
      </c>
      <c r="AE58">
        <v>100</v>
      </c>
      <c r="AF58">
        <v>0</v>
      </c>
      <c r="AG58" s="1">
        <v>14929</v>
      </c>
      <c r="AH58">
        <v>271.44</v>
      </c>
      <c r="AI58">
        <v>50.67</v>
      </c>
      <c r="AJ58">
        <v>294</v>
      </c>
      <c r="AK58">
        <v>5.36</v>
      </c>
      <c r="AL58" s="1">
        <v>711</v>
      </c>
      <c r="AM58">
        <v>44.7</v>
      </c>
      <c r="AN58" s="1">
        <v>659</v>
      </c>
      <c r="AO58">
        <v>21</v>
      </c>
      <c r="AP58">
        <v>53</v>
      </c>
      <c r="AQ58" s="1">
        <v>900</v>
      </c>
      <c r="AR58">
        <v>106</v>
      </c>
      <c r="AS58">
        <v>50</v>
      </c>
      <c r="AT58">
        <v>0</v>
      </c>
    </row>
    <row r="59" spans="1:46" x14ac:dyDescent="0.25">
      <c r="A59" s="3" t="s">
        <v>235</v>
      </c>
      <c r="B59" t="s">
        <v>152</v>
      </c>
      <c r="C59" s="2">
        <v>44398</v>
      </c>
      <c r="D59">
        <v>88</v>
      </c>
      <c r="E59">
        <v>100</v>
      </c>
      <c r="F59">
        <v>0</v>
      </c>
      <c r="G59" s="1">
        <v>22768</v>
      </c>
      <c r="H59">
        <v>258.73</v>
      </c>
      <c r="I59">
        <v>47.61</v>
      </c>
      <c r="J59" s="1">
        <v>478</v>
      </c>
      <c r="K59">
        <v>5.43</v>
      </c>
      <c r="L59" s="1"/>
      <c r="M59">
        <v>43.5</v>
      </c>
      <c r="N59" s="1">
        <v>1099</v>
      </c>
      <c r="O59">
        <v>35</v>
      </c>
      <c r="P59">
        <v>94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4</v>
      </c>
      <c r="AB59">
        <v>0</v>
      </c>
      <c r="AC59">
        <v>0</v>
      </c>
      <c r="AD59">
        <v>88</v>
      </c>
      <c r="AE59">
        <v>100</v>
      </c>
      <c r="AF59">
        <v>0</v>
      </c>
      <c r="AG59" s="1">
        <v>22768</v>
      </c>
      <c r="AH59">
        <v>258.73</v>
      </c>
      <c r="AI59">
        <v>47.61</v>
      </c>
      <c r="AJ59" s="1">
        <v>478</v>
      </c>
      <c r="AK59">
        <v>5.43</v>
      </c>
      <c r="AL59" s="1">
        <v>632</v>
      </c>
      <c r="AM59">
        <v>43.3</v>
      </c>
      <c r="AN59" s="1">
        <v>1103</v>
      </c>
      <c r="AO59">
        <v>36</v>
      </c>
      <c r="AP59">
        <v>94</v>
      </c>
      <c r="AQ59" s="1">
        <v>463</v>
      </c>
      <c r="AR59">
        <v>21</v>
      </c>
      <c r="AS59">
        <v>101</v>
      </c>
      <c r="AT59">
        <v>0</v>
      </c>
    </row>
    <row r="60" spans="1:46" x14ac:dyDescent="0.25">
      <c r="A60" s="3" t="s">
        <v>239</v>
      </c>
      <c r="B60" t="s">
        <v>340</v>
      </c>
      <c r="C60" s="2">
        <v>44398</v>
      </c>
      <c r="D60">
        <v>382</v>
      </c>
      <c r="E60">
        <v>100</v>
      </c>
      <c r="F60">
        <v>0</v>
      </c>
      <c r="G60" s="1">
        <v>177518</v>
      </c>
      <c r="H60">
        <v>464.71</v>
      </c>
      <c r="I60">
        <v>29.66</v>
      </c>
      <c r="J60" s="1">
        <v>5985</v>
      </c>
      <c r="K60">
        <v>15.67</v>
      </c>
      <c r="L60" s="1"/>
      <c r="M60">
        <v>77</v>
      </c>
      <c r="N60" s="1">
        <v>7774</v>
      </c>
      <c r="O60">
        <v>251</v>
      </c>
      <c r="P60">
        <v>350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 s="1">
        <v>0</v>
      </c>
      <c r="Z60">
        <v>0</v>
      </c>
      <c r="AA60">
        <v>0</v>
      </c>
      <c r="AB60">
        <v>0</v>
      </c>
      <c r="AC60">
        <v>0</v>
      </c>
      <c r="AD60">
        <v>382</v>
      </c>
      <c r="AE60">
        <v>100</v>
      </c>
      <c r="AF60">
        <v>0</v>
      </c>
      <c r="AG60" s="1">
        <v>177518</v>
      </c>
      <c r="AH60">
        <v>464.71</v>
      </c>
      <c r="AI60">
        <v>29.66</v>
      </c>
      <c r="AJ60" s="1">
        <v>5985</v>
      </c>
      <c r="AK60">
        <v>15.67</v>
      </c>
      <c r="AL60" s="1">
        <v>707</v>
      </c>
      <c r="AM60">
        <v>77</v>
      </c>
      <c r="AN60" s="1">
        <v>7774</v>
      </c>
      <c r="AO60">
        <v>251</v>
      </c>
      <c r="AP60">
        <v>350</v>
      </c>
      <c r="AQ60" s="1">
        <v>1134</v>
      </c>
      <c r="AR60">
        <v>180</v>
      </c>
      <c r="AS60" s="1">
        <v>1575</v>
      </c>
      <c r="AT60">
        <v>0</v>
      </c>
    </row>
    <row r="61" spans="1:46" x14ac:dyDescent="0.25">
      <c r="A61" s="3" t="s">
        <v>250</v>
      </c>
      <c r="B61" t="s">
        <v>141</v>
      </c>
      <c r="C61" s="2">
        <v>44398</v>
      </c>
      <c r="D61">
        <v>0</v>
      </c>
      <c r="E61">
        <v>0</v>
      </c>
      <c r="F61">
        <v>0</v>
      </c>
      <c r="G61" s="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 s="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</row>
    <row r="62" spans="1:46" x14ac:dyDescent="0.25">
      <c r="A62" s="3" t="s">
        <v>238</v>
      </c>
      <c r="B62" t="s">
        <v>341</v>
      </c>
      <c r="C62" s="2">
        <v>44398</v>
      </c>
      <c r="D62">
        <v>558</v>
      </c>
      <c r="E62">
        <v>100</v>
      </c>
      <c r="F62">
        <v>0</v>
      </c>
      <c r="G62" s="1">
        <v>163429</v>
      </c>
      <c r="H62">
        <v>292.88</v>
      </c>
      <c r="I62">
        <v>38.07</v>
      </c>
      <c r="J62" s="1">
        <v>4292</v>
      </c>
      <c r="K62">
        <v>7.69</v>
      </c>
      <c r="L62" s="1"/>
      <c r="M62">
        <v>88.1</v>
      </c>
      <c r="N62" s="1">
        <v>4872</v>
      </c>
      <c r="O62">
        <v>157</v>
      </c>
      <c r="P62">
        <v>534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558</v>
      </c>
      <c r="AE62">
        <v>100</v>
      </c>
      <c r="AF62">
        <v>0</v>
      </c>
      <c r="AG62" s="1">
        <v>163429</v>
      </c>
      <c r="AH62">
        <v>292.88</v>
      </c>
      <c r="AI62">
        <v>38.07</v>
      </c>
      <c r="AJ62" s="1">
        <v>4292</v>
      </c>
      <c r="AK62">
        <v>7.69</v>
      </c>
      <c r="AL62" s="1">
        <v>1041</v>
      </c>
      <c r="AM62">
        <v>88.1</v>
      </c>
      <c r="AN62" s="1">
        <v>4872</v>
      </c>
      <c r="AO62">
        <v>157</v>
      </c>
      <c r="AP62">
        <v>534</v>
      </c>
      <c r="AQ62" s="1">
        <v>1893</v>
      </c>
      <c r="AR62">
        <v>0</v>
      </c>
      <c r="AS62" s="1">
        <v>232</v>
      </c>
      <c r="AT62">
        <v>0</v>
      </c>
    </row>
    <row r="63" spans="1:46" x14ac:dyDescent="0.25">
      <c r="A63" s="3" t="s">
        <v>229</v>
      </c>
      <c r="B63" t="s">
        <v>376</v>
      </c>
      <c r="C63" s="2">
        <v>44398</v>
      </c>
      <c r="D63">
        <v>31</v>
      </c>
      <c r="E63">
        <v>100</v>
      </c>
      <c r="F63">
        <v>0</v>
      </c>
      <c r="G63" s="1">
        <v>4657</v>
      </c>
      <c r="H63">
        <v>150.22999999999999</v>
      </c>
      <c r="I63">
        <v>60.15</v>
      </c>
      <c r="J63" s="1">
        <v>77</v>
      </c>
      <c r="K63">
        <v>2.5</v>
      </c>
      <c r="L63" s="1"/>
      <c r="M63">
        <v>25.7</v>
      </c>
      <c r="N63" s="1">
        <v>301</v>
      </c>
      <c r="O63">
        <v>10</v>
      </c>
      <c r="P63">
        <v>32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 s="1">
        <v>0</v>
      </c>
      <c r="Z63">
        <v>0</v>
      </c>
      <c r="AA63">
        <v>0</v>
      </c>
      <c r="AB63">
        <v>0</v>
      </c>
      <c r="AC63">
        <v>0</v>
      </c>
      <c r="AD63">
        <v>31</v>
      </c>
      <c r="AE63">
        <v>100</v>
      </c>
      <c r="AF63">
        <v>0</v>
      </c>
      <c r="AG63" s="1">
        <v>4657</v>
      </c>
      <c r="AH63">
        <v>150.22999999999999</v>
      </c>
      <c r="AI63">
        <v>60.15</v>
      </c>
      <c r="AJ63" s="1">
        <v>77</v>
      </c>
      <c r="AK63">
        <v>2.5</v>
      </c>
      <c r="AL63" s="1">
        <v>466</v>
      </c>
      <c r="AM63">
        <v>25.7</v>
      </c>
      <c r="AN63" s="1">
        <v>301</v>
      </c>
      <c r="AO63">
        <v>10</v>
      </c>
      <c r="AP63">
        <v>32</v>
      </c>
      <c r="AQ63">
        <v>510</v>
      </c>
      <c r="AR63">
        <v>0</v>
      </c>
      <c r="AS63">
        <v>6</v>
      </c>
      <c r="AT63">
        <v>0</v>
      </c>
    </row>
    <row r="64" spans="1:46" x14ac:dyDescent="0.25">
      <c r="A64" s="3" t="s">
        <v>228</v>
      </c>
      <c r="B64" t="s">
        <v>342</v>
      </c>
      <c r="C64" s="2">
        <v>44398</v>
      </c>
      <c r="D64">
        <v>377</v>
      </c>
      <c r="E64">
        <v>99.7</v>
      </c>
      <c r="F64">
        <v>0.3</v>
      </c>
      <c r="G64" s="1">
        <v>146036</v>
      </c>
      <c r="H64">
        <v>387.36</v>
      </c>
      <c r="I64">
        <v>20.29</v>
      </c>
      <c r="J64" s="1">
        <v>7197</v>
      </c>
      <c r="K64">
        <v>19.09</v>
      </c>
      <c r="L64" s="1"/>
      <c r="M64">
        <v>87.4</v>
      </c>
      <c r="N64" s="1">
        <v>8238</v>
      </c>
      <c r="O64">
        <v>266</v>
      </c>
      <c r="P64">
        <v>349</v>
      </c>
      <c r="Q64">
        <v>1</v>
      </c>
      <c r="R64">
        <v>100</v>
      </c>
      <c r="S64">
        <v>0</v>
      </c>
      <c r="T64" s="1">
        <v>362</v>
      </c>
      <c r="U64" s="31">
        <v>362</v>
      </c>
      <c r="V64">
        <v>12.07</v>
      </c>
      <c r="W64">
        <v>30</v>
      </c>
      <c r="X64">
        <v>30</v>
      </c>
      <c r="Y64" s="1">
        <v>362</v>
      </c>
      <c r="Z64">
        <v>96.8</v>
      </c>
      <c r="AA64">
        <v>31</v>
      </c>
      <c r="AB64">
        <v>1</v>
      </c>
      <c r="AC64">
        <v>1</v>
      </c>
      <c r="AD64">
        <v>378</v>
      </c>
      <c r="AE64">
        <v>99.7</v>
      </c>
      <c r="AF64">
        <v>0.3</v>
      </c>
      <c r="AG64" s="1">
        <v>146398</v>
      </c>
      <c r="AH64">
        <v>387.3</v>
      </c>
      <c r="AI64">
        <v>20.25</v>
      </c>
      <c r="AJ64" s="1">
        <v>7227</v>
      </c>
      <c r="AK64">
        <v>19.12</v>
      </c>
      <c r="AL64" s="1">
        <v>548</v>
      </c>
      <c r="AM64">
        <v>87.4</v>
      </c>
      <c r="AN64" s="1">
        <v>8269</v>
      </c>
      <c r="AO64">
        <v>267</v>
      </c>
      <c r="AP64">
        <v>350</v>
      </c>
      <c r="AQ64" s="1">
        <v>1895</v>
      </c>
      <c r="AR64">
        <v>0</v>
      </c>
      <c r="AS64" s="1">
        <v>1322</v>
      </c>
      <c r="AT64">
        <v>0</v>
      </c>
    </row>
    <row r="65" spans="1:46" x14ac:dyDescent="0.25">
      <c r="A65" s="3" t="s">
        <v>218</v>
      </c>
      <c r="B65" t="s">
        <v>343</v>
      </c>
      <c r="C65" s="2">
        <v>44398</v>
      </c>
      <c r="D65">
        <v>63</v>
      </c>
      <c r="E65">
        <v>100</v>
      </c>
      <c r="F65">
        <v>0</v>
      </c>
      <c r="G65" s="1">
        <v>14315</v>
      </c>
      <c r="H65">
        <v>227.22</v>
      </c>
      <c r="I65">
        <v>30.82</v>
      </c>
      <c r="J65" s="1">
        <v>464</v>
      </c>
      <c r="K65">
        <v>7.37</v>
      </c>
      <c r="L65" s="1"/>
      <c r="M65">
        <v>68.599999999999994</v>
      </c>
      <c r="N65" s="1">
        <v>677</v>
      </c>
      <c r="O65">
        <v>22</v>
      </c>
      <c r="P65">
        <v>62</v>
      </c>
      <c r="Q65">
        <v>0</v>
      </c>
      <c r="R65">
        <v>0</v>
      </c>
      <c r="S65">
        <v>0</v>
      </c>
      <c r="T65" s="1">
        <v>0</v>
      </c>
      <c r="U65" s="31">
        <v>0</v>
      </c>
      <c r="V65">
        <v>0</v>
      </c>
      <c r="W65">
        <v>0</v>
      </c>
      <c r="X65">
        <v>0</v>
      </c>
      <c r="Y65" s="1">
        <v>0</v>
      </c>
      <c r="Z65">
        <v>0</v>
      </c>
      <c r="AA65">
        <v>0</v>
      </c>
      <c r="AB65">
        <v>0</v>
      </c>
      <c r="AC65">
        <v>0</v>
      </c>
      <c r="AD65">
        <v>63</v>
      </c>
      <c r="AE65">
        <v>100</v>
      </c>
      <c r="AF65">
        <v>0</v>
      </c>
      <c r="AG65" s="1">
        <v>14315</v>
      </c>
      <c r="AH65">
        <v>227.22</v>
      </c>
      <c r="AI65">
        <v>30.82</v>
      </c>
      <c r="AJ65" s="1">
        <v>464</v>
      </c>
      <c r="AK65">
        <v>7.37</v>
      </c>
      <c r="AL65" s="1">
        <v>651</v>
      </c>
      <c r="AM65">
        <v>68.5</v>
      </c>
      <c r="AN65" s="1">
        <v>677</v>
      </c>
      <c r="AO65">
        <v>22</v>
      </c>
      <c r="AP65">
        <v>62</v>
      </c>
      <c r="AQ65">
        <v>555</v>
      </c>
      <c r="AR65">
        <v>0</v>
      </c>
      <c r="AS65">
        <v>0</v>
      </c>
      <c r="AT65">
        <v>0</v>
      </c>
    </row>
    <row r="66" spans="1:46" x14ac:dyDescent="0.25">
      <c r="A66" s="3" t="s">
        <v>232</v>
      </c>
      <c r="B66" t="s">
        <v>344</v>
      </c>
      <c r="C66" s="2">
        <v>44398</v>
      </c>
      <c r="D66">
        <v>116</v>
      </c>
      <c r="E66">
        <v>100</v>
      </c>
      <c r="F66">
        <v>0</v>
      </c>
      <c r="G66" s="1">
        <v>37417</v>
      </c>
      <c r="H66">
        <v>322.56</v>
      </c>
      <c r="I66">
        <v>37.89</v>
      </c>
      <c r="J66" s="1">
        <v>987</v>
      </c>
      <c r="K66">
        <v>8.51</v>
      </c>
      <c r="L66" s="1"/>
      <c r="M66">
        <v>53.1</v>
      </c>
      <c r="N66" s="1">
        <v>1860</v>
      </c>
      <c r="O66">
        <v>60</v>
      </c>
      <c r="P66">
        <v>116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116</v>
      </c>
      <c r="AE66">
        <v>100</v>
      </c>
      <c r="AF66">
        <v>0</v>
      </c>
      <c r="AG66" s="1">
        <v>37417</v>
      </c>
      <c r="AH66">
        <v>322.56</v>
      </c>
      <c r="AI66">
        <v>37.89</v>
      </c>
      <c r="AJ66" s="1">
        <v>987</v>
      </c>
      <c r="AK66">
        <v>8.51</v>
      </c>
      <c r="AL66" s="1">
        <v>624</v>
      </c>
      <c r="AM66">
        <v>53</v>
      </c>
      <c r="AN66" s="1">
        <v>1860</v>
      </c>
      <c r="AO66">
        <v>60</v>
      </c>
      <c r="AP66">
        <v>116</v>
      </c>
      <c r="AQ66" s="1">
        <v>352</v>
      </c>
      <c r="AR66">
        <v>0</v>
      </c>
      <c r="AS66" s="1">
        <v>512</v>
      </c>
      <c r="AT66">
        <v>0</v>
      </c>
    </row>
    <row r="67" spans="1:46" x14ac:dyDescent="0.25">
      <c r="A67" s="3" t="s">
        <v>233</v>
      </c>
      <c r="B67" t="s">
        <v>150</v>
      </c>
      <c r="C67" s="2">
        <v>44398</v>
      </c>
      <c r="D67">
        <v>0</v>
      </c>
      <c r="E67">
        <v>0</v>
      </c>
      <c r="F67">
        <v>0</v>
      </c>
      <c r="G67" s="1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 s="1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</row>
    <row r="68" spans="1:46" x14ac:dyDescent="0.25">
      <c r="A68" s="3" t="s">
        <v>224</v>
      </c>
      <c r="B68" t="s">
        <v>140</v>
      </c>
      <c r="C68" s="2">
        <v>44398</v>
      </c>
      <c r="D68">
        <v>0</v>
      </c>
      <c r="E68">
        <v>0</v>
      </c>
      <c r="F68">
        <v>0</v>
      </c>
      <c r="G68" s="1">
        <v>0</v>
      </c>
      <c r="H68">
        <v>0</v>
      </c>
      <c r="I68">
        <v>0</v>
      </c>
      <c r="J68">
        <v>0</v>
      </c>
      <c r="K68">
        <v>0</v>
      </c>
      <c r="L68" s="1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 s="1">
        <v>0</v>
      </c>
      <c r="AH68">
        <v>0</v>
      </c>
      <c r="AI68">
        <v>0</v>
      </c>
      <c r="AJ68">
        <v>0</v>
      </c>
      <c r="AK68">
        <v>0</v>
      </c>
      <c r="AL68" s="1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</row>
    <row r="69" spans="1:46" x14ac:dyDescent="0.25">
      <c r="A69" s="3" t="s">
        <v>221</v>
      </c>
      <c r="B69" t="s">
        <v>345</v>
      </c>
      <c r="C69" s="2">
        <v>44398</v>
      </c>
      <c r="D69">
        <v>48</v>
      </c>
      <c r="E69">
        <v>100</v>
      </c>
      <c r="F69">
        <v>0</v>
      </c>
      <c r="G69" s="1">
        <v>22156</v>
      </c>
      <c r="H69" s="31">
        <v>461.58</v>
      </c>
      <c r="I69">
        <v>30.64</v>
      </c>
      <c r="J69" s="1">
        <v>723</v>
      </c>
      <c r="K69">
        <v>15.07</v>
      </c>
      <c r="L69" s="1"/>
      <c r="M69">
        <v>69.7</v>
      </c>
      <c r="N69" s="1">
        <v>1037</v>
      </c>
      <c r="O69">
        <v>33</v>
      </c>
      <c r="P69">
        <v>52</v>
      </c>
      <c r="Q69">
        <v>1</v>
      </c>
      <c r="R69">
        <v>100</v>
      </c>
      <c r="S69">
        <v>0</v>
      </c>
      <c r="T69">
        <v>364</v>
      </c>
      <c r="U69">
        <v>364</v>
      </c>
      <c r="V69">
        <v>91</v>
      </c>
      <c r="W69">
        <v>4</v>
      </c>
      <c r="X69">
        <v>4</v>
      </c>
      <c r="Y69">
        <v>0</v>
      </c>
      <c r="Z69">
        <v>133.30000000000001</v>
      </c>
      <c r="AA69">
        <v>3</v>
      </c>
      <c r="AB69">
        <v>0</v>
      </c>
      <c r="AC69">
        <v>0</v>
      </c>
      <c r="AD69">
        <v>49</v>
      </c>
      <c r="AE69">
        <v>100</v>
      </c>
      <c r="AF69">
        <v>0</v>
      </c>
      <c r="AG69" s="1">
        <v>22520</v>
      </c>
      <c r="AH69" s="31">
        <v>459.59</v>
      </c>
      <c r="AI69">
        <v>30.97</v>
      </c>
      <c r="AJ69" s="1">
        <v>727</v>
      </c>
      <c r="AK69">
        <v>14.84</v>
      </c>
      <c r="AL69" s="1">
        <v>662</v>
      </c>
      <c r="AM69">
        <v>69.900000000000006</v>
      </c>
      <c r="AN69" s="1">
        <v>1040</v>
      </c>
      <c r="AO69">
        <v>34</v>
      </c>
      <c r="AP69">
        <v>52</v>
      </c>
      <c r="AQ69" s="1">
        <v>50</v>
      </c>
      <c r="AR69">
        <v>0</v>
      </c>
      <c r="AS69">
        <v>5</v>
      </c>
      <c r="AT69">
        <v>0</v>
      </c>
    </row>
    <row r="70" spans="1:46" x14ac:dyDescent="0.25">
      <c r="A70" s="3" t="s">
        <v>237</v>
      </c>
      <c r="B70" t="s">
        <v>377</v>
      </c>
      <c r="C70" s="2">
        <v>44398</v>
      </c>
      <c r="D70">
        <v>3</v>
      </c>
      <c r="E70">
        <v>100</v>
      </c>
      <c r="F70">
        <v>0</v>
      </c>
      <c r="G70" s="1">
        <v>2615</v>
      </c>
      <c r="H70">
        <v>871.67</v>
      </c>
      <c r="I70">
        <v>45.55</v>
      </c>
      <c r="J70" s="1">
        <v>57</v>
      </c>
      <c r="K70">
        <v>19.14</v>
      </c>
      <c r="L70" s="1"/>
      <c r="M70">
        <v>63.8</v>
      </c>
      <c r="N70" s="1">
        <v>90</v>
      </c>
      <c r="O70">
        <v>3</v>
      </c>
      <c r="P70">
        <v>3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3</v>
      </c>
      <c r="AE70">
        <v>100</v>
      </c>
      <c r="AF70">
        <v>0</v>
      </c>
      <c r="AG70" s="1">
        <v>2615</v>
      </c>
      <c r="AH70">
        <v>871.67</v>
      </c>
      <c r="AI70">
        <v>45.55</v>
      </c>
      <c r="AJ70" s="1">
        <v>57</v>
      </c>
      <c r="AK70">
        <v>19.14</v>
      </c>
      <c r="AL70" s="1">
        <v>872</v>
      </c>
      <c r="AM70">
        <v>63.7</v>
      </c>
      <c r="AN70" s="1">
        <v>90</v>
      </c>
      <c r="AO70">
        <v>3</v>
      </c>
      <c r="AP70">
        <v>3</v>
      </c>
      <c r="AQ70" s="1">
        <v>0</v>
      </c>
      <c r="AR70">
        <v>0</v>
      </c>
      <c r="AS70">
        <v>0</v>
      </c>
      <c r="AT70">
        <v>0</v>
      </c>
    </row>
    <row r="71" spans="1:46" x14ac:dyDescent="0.25">
      <c r="A71" s="3" t="s">
        <v>242</v>
      </c>
      <c r="B71" t="s">
        <v>346</v>
      </c>
      <c r="C71" s="2">
        <v>44398</v>
      </c>
      <c r="D71">
        <v>14</v>
      </c>
      <c r="E71">
        <v>100</v>
      </c>
      <c r="F71">
        <v>0</v>
      </c>
      <c r="G71" s="1">
        <v>2813</v>
      </c>
      <c r="H71" s="31">
        <v>200.93</v>
      </c>
      <c r="I71">
        <v>63.76</v>
      </c>
      <c r="J71" s="1">
        <v>44</v>
      </c>
      <c r="K71">
        <v>3.15</v>
      </c>
      <c r="L71" s="1"/>
      <c r="M71">
        <v>17.399999999999999</v>
      </c>
      <c r="N71" s="1">
        <v>254</v>
      </c>
      <c r="O71">
        <v>8</v>
      </c>
      <c r="P71">
        <v>15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14</v>
      </c>
      <c r="AE71">
        <v>100</v>
      </c>
      <c r="AF71">
        <v>0</v>
      </c>
      <c r="AG71" s="1">
        <v>2813</v>
      </c>
      <c r="AH71" s="31">
        <v>200.93</v>
      </c>
      <c r="AI71">
        <v>63.76</v>
      </c>
      <c r="AJ71" s="1">
        <v>44</v>
      </c>
      <c r="AK71">
        <v>3.15</v>
      </c>
      <c r="AL71" s="1">
        <v>352</v>
      </c>
      <c r="AM71">
        <v>17.3</v>
      </c>
      <c r="AN71" s="1">
        <v>254</v>
      </c>
      <c r="AO71">
        <v>8</v>
      </c>
      <c r="AP71">
        <v>15</v>
      </c>
      <c r="AQ71">
        <v>0</v>
      </c>
      <c r="AR71">
        <v>0</v>
      </c>
      <c r="AS71">
        <v>6</v>
      </c>
      <c r="AT71">
        <v>0</v>
      </c>
    </row>
    <row r="72" spans="1:46" x14ac:dyDescent="0.25">
      <c r="A72" s="3" t="s">
        <v>230</v>
      </c>
      <c r="B72" t="s">
        <v>347</v>
      </c>
      <c r="C72" s="2">
        <v>44398</v>
      </c>
      <c r="D72">
        <v>50</v>
      </c>
      <c r="E72">
        <v>98</v>
      </c>
      <c r="F72">
        <v>2</v>
      </c>
      <c r="G72" s="1">
        <v>17272</v>
      </c>
      <c r="H72">
        <v>345.44</v>
      </c>
      <c r="I72">
        <v>31.86</v>
      </c>
      <c r="J72" s="1">
        <v>542</v>
      </c>
      <c r="K72">
        <v>10.84</v>
      </c>
      <c r="L72" s="1"/>
      <c r="M72">
        <v>60.2</v>
      </c>
      <c r="N72" s="1">
        <v>900</v>
      </c>
      <c r="O72">
        <v>29</v>
      </c>
      <c r="P72">
        <v>49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4</v>
      </c>
      <c r="AB72">
        <v>0</v>
      </c>
      <c r="AC72">
        <v>0</v>
      </c>
      <c r="AD72">
        <v>50</v>
      </c>
      <c r="AE72">
        <v>98</v>
      </c>
      <c r="AF72">
        <v>2</v>
      </c>
      <c r="AG72" s="1">
        <v>17272</v>
      </c>
      <c r="AH72">
        <v>345.44</v>
      </c>
      <c r="AI72">
        <v>31.86</v>
      </c>
      <c r="AJ72" s="1">
        <v>542</v>
      </c>
      <c r="AK72">
        <v>10.84</v>
      </c>
      <c r="AL72" s="1">
        <v>596</v>
      </c>
      <c r="AM72">
        <v>59.9</v>
      </c>
      <c r="AN72" s="1">
        <v>904</v>
      </c>
      <c r="AO72">
        <v>29</v>
      </c>
      <c r="AP72">
        <v>49</v>
      </c>
      <c r="AQ72">
        <v>394</v>
      </c>
      <c r="AR72">
        <v>0</v>
      </c>
      <c r="AS72" s="1">
        <v>19</v>
      </c>
      <c r="AT72">
        <v>0</v>
      </c>
    </row>
    <row r="73" spans="1:46" x14ac:dyDescent="0.25">
      <c r="A73" s="3" t="s">
        <v>227</v>
      </c>
      <c r="B73" t="s">
        <v>348</v>
      </c>
      <c r="C73" s="2">
        <v>44398</v>
      </c>
      <c r="D73">
        <v>9</v>
      </c>
      <c r="E73">
        <v>100</v>
      </c>
      <c r="F73">
        <v>0</v>
      </c>
      <c r="G73" s="1">
        <v>1936</v>
      </c>
      <c r="H73">
        <v>215.11</v>
      </c>
      <c r="I73">
        <v>31.41</v>
      </c>
      <c r="J73">
        <v>61</v>
      </c>
      <c r="K73">
        <v>6.85</v>
      </c>
      <c r="L73" s="1"/>
      <c r="M73">
        <v>28.4</v>
      </c>
      <c r="N73">
        <v>217</v>
      </c>
      <c r="O73">
        <v>7</v>
      </c>
      <c r="P73">
        <v>9</v>
      </c>
      <c r="Q73">
        <v>0</v>
      </c>
      <c r="R73">
        <v>0</v>
      </c>
      <c r="S73">
        <v>0</v>
      </c>
      <c r="T73" s="1">
        <v>0</v>
      </c>
      <c r="U73" s="31">
        <v>0</v>
      </c>
      <c r="V73">
        <v>0</v>
      </c>
      <c r="W73">
        <v>0</v>
      </c>
      <c r="X73">
        <v>0</v>
      </c>
      <c r="Y73" s="1">
        <v>0</v>
      </c>
      <c r="Z73">
        <v>0</v>
      </c>
      <c r="AA73">
        <v>0</v>
      </c>
      <c r="AB73">
        <v>0</v>
      </c>
      <c r="AC73">
        <v>0</v>
      </c>
      <c r="AD73">
        <v>9</v>
      </c>
      <c r="AE73">
        <v>100</v>
      </c>
      <c r="AF73">
        <v>0</v>
      </c>
      <c r="AG73" s="1">
        <v>1936</v>
      </c>
      <c r="AH73">
        <v>215.11</v>
      </c>
      <c r="AI73">
        <v>31.41</v>
      </c>
      <c r="AJ73">
        <v>61</v>
      </c>
      <c r="AK73">
        <v>6.85</v>
      </c>
      <c r="AL73" s="1">
        <v>277</v>
      </c>
      <c r="AM73">
        <v>28.4</v>
      </c>
      <c r="AN73">
        <v>217</v>
      </c>
      <c r="AO73">
        <v>7</v>
      </c>
      <c r="AP73">
        <v>9</v>
      </c>
      <c r="AQ73">
        <v>0</v>
      </c>
      <c r="AR73">
        <v>0</v>
      </c>
      <c r="AS73">
        <v>117</v>
      </c>
      <c r="AT73">
        <v>0</v>
      </c>
    </row>
    <row r="74" spans="1:46" x14ac:dyDescent="0.25">
      <c r="A74" s="3" t="s">
        <v>219</v>
      </c>
      <c r="B74" t="s">
        <v>349</v>
      </c>
      <c r="C74" s="2">
        <v>44398</v>
      </c>
      <c r="D74">
        <v>29</v>
      </c>
      <c r="E74">
        <v>96.5</v>
      </c>
      <c r="F74">
        <v>3.5</v>
      </c>
      <c r="G74" s="1">
        <v>12790</v>
      </c>
      <c r="H74">
        <v>441.03</v>
      </c>
      <c r="I74">
        <v>43.33</v>
      </c>
      <c r="J74" s="1">
        <v>295</v>
      </c>
      <c r="K74">
        <v>10.18</v>
      </c>
      <c r="L74" s="1"/>
      <c r="M74">
        <v>55.7</v>
      </c>
      <c r="N74" s="1">
        <v>530</v>
      </c>
      <c r="O74">
        <v>17</v>
      </c>
      <c r="P74">
        <v>26</v>
      </c>
      <c r="Q74">
        <v>0</v>
      </c>
      <c r="R74">
        <v>0</v>
      </c>
      <c r="S74">
        <v>0</v>
      </c>
      <c r="T74" s="1">
        <v>0</v>
      </c>
      <c r="U74" s="31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29</v>
      </c>
      <c r="AE74">
        <v>96.5</v>
      </c>
      <c r="AF74">
        <v>3.5</v>
      </c>
      <c r="AG74" s="1">
        <v>12790</v>
      </c>
      <c r="AH74">
        <v>441.03</v>
      </c>
      <c r="AI74">
        <v>43.33</v>
      </c>
      <c r="AJ74" s="1">
        <v>295</v>
      </c>
      <c r="AK74">
        <v>10.18</v>
      </c>
      <c r="AL74" s="1">
        <v>752</v>
      </c>
      <c r="AM74">
        <v>55.6</v>
      </c>
      <c r="AN74" s="1">
        <v>530</v>
      </c>
      <c r="AO74">
        <v>17</v>
      </c>
      <c r="AP74">
        <v>26</v>
      </c>
      <c r="AQ74" s="1">
        <v>187</v>
      </c>
      <c r="AR74">
        <v>0</v>
      </c>
      <c r="AS74" s="1">
        <v>377</v>
      </c>
      <c r="AT74" s="1">
        <v>152</v>
      </c>
    </row>
    <row r="75" spans="1:46" x14ac:dyDescent="0.25">
      <c r="A75" s="3" t="s">
        <v>220</v>
      </c>
      <c r="B75" t="s">
        <v>136</v>
      </c>
      <c r="C75" s="2">
        <v>44398</v>
      </c>
      <c r="D75">
        <v>0</v>
      </c>
      <c r="E75">
        <v>0</v>
      </c>
      <c r="F75">
        <v>0</v>
      </c>
      <c r="G75" s="1">
        <v>0</v>
      </c>
      <c r="H75">
        <v>0</v>
      </c>
      <c r="I75">
        <v>0</v>
      </c>
      <c r="J75">
        <v>0</v>
      </c>
      <c r="K75">
        <v>0</v>
      </c>
      <c r="L75" s="1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 s="1">
        <v>0</v>
      </c>
      <c r="U75">
        <v>0</v>
      </c>
      <c r="V75">
        <v>0</v>
      </c>
      <c r="W75">
        <v>0</v>
      </c>
      <c r="X75">
        <v>0</v>
      </c>
      <c r="Y75" s="1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 s="1">
        <v>0</v>
      </c>
      <c r="AH75">
        <v>0</v>
      </c>
      <c r="AI75">
        <v>0</v>
      </c>
      <c r="AJ75">
        <v>0</v>
      </c>
      <c r="AK75">
        <v>0</v>
      </c>
      <c r="AL75" s="1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</row>
    <row r="76" spans="1:46" x14ac:dyDescent="0.25">
      <c r="A76" s="3" t="s">
        <v>240</v>
      </c>
      <c r="B76" t="s">
        <v>350</v>
      </c>
      <c r="C76" s="2">
        <v>44398</v>
      </c>
      <c r="D76">
        <v>85</v>
      </c>
      <c r="E76">
        <v>100</v>
      </c>
      <c r="F76">
        <v>0</v>
      </c>
      <c r="G76" s="1">
        <v>36124</v>
      </c>
      <c r="H76">
        <v>424.99</v>
      </c>
      <c r="I76">
        <v>29.57</v>
      </c>
      <c r="J76" s="1">
        <v>1221</v>
      </c>
      <c r="K76">
        <v>14.37</v>
      </c>
      <c r="L76" s="1"/>
      <c r="M76">
        <v>73.099999999999994</v>
      </c>
      <c r="N76" s="1">
        <v>1672</v>
      </c>
      <c r="O76">
        <v>54</v>
      </c>
      <c r="P76">
        <v>87</v>
      </c>
      <c r="Q76">
        <v>0</v>
      </c>
      <c r="R76">
        <v>0</v>
      </c>
      <c r="S76">
        <v>0</v>
      </c>
      <c r="T76" s="1">
        <v>0</v>
      </c>
      <c r="U76" s="31">
        <v>0</v>
      </c>
      <c r="V76">
        <v>0</v>
      </c>
      <c r="W76">
        <v>0</v>
      </c>
      <c r="X76">
        <v>0</v>
      </c>
      <c r="Y76" s="1">
        <v>0</v>
      </c>
      <c r="Z76">
        <v>0</v>
      </c>
      <c r="AA76">
        <v>1</v>
      </c>
      <c r="AB76">
        <v>0</v>
      </c>
      <c r="AC76">
        <v>0</v>
      </c>
      <c r="AD76">
        <v>85</v>
      </c>
      <c r="AE76">
        <v>100</v>
      </c>
      <c r="AF76">
        <v>0</v>
      </c>
      <c r="AG76" s="1">
        <v>36124</v>
      </c>
      <c r="AH76" s="31">
        <v>424.99</v>
      </c>
      <c r="AI76">
        <v>29.57</v>
      </c>
      <c r="AJ76" s="1">
        <v>1221</v>
      </c>
      <c r="AK76">
        <v>14.37</v>
      </c>
      <c r="AL76" s="1">
        <v>669</v>
      </c>
      <c r="AM76">
        <v>73</v>
      </c>
      <c r="AN76" s="1">
        <v>1673</v>
      </c>
      <c r="AO76">
        <v>54</v>
      </c>
      <c r="AP76">
        <v>87</v>
      </c>
      <c r="AQ76">
        <v>189</v>
      </c>
      <c r="AR76">
        <v>0</v>
      </c>
      <c r="AS76">
        <v>213</v>
      </c>
      <c r="AT76">
        <v>0</v>
      </c>
    </row>
    <row r="77" spans="1:46" x14ac:dyDescent="0.25">
      <c r="A77" s="3" t="s">
        <v>241</v>
      </c>
      <c r="B77" t="s">
        <v>351</v>
      </c>
      <c r="C77" s="2">
        <v>44398</v>
      </c>
      <c r="D77">
        <v>77</v>
      </c>
      <c r="E77">
        <v>100</v>
      </c>
      <c r="F77">
        <v>0</v>
      </c>
      <c r="G77" s="1">
        <v>30945</v>
      </c>
      <c r="H77" s="31">
        <v>401.88</v>
      </c>
      <c r="I77">
        <v>28.94</v>
      </c>
      <c r="J77" s="1">
        <v>1069</v>
      </c>
      <c r="K77">
        <v>13.89</v>
      </c>
      <c r="L77" s="1"/>
      <c r="M77">
        <v>57.3</v>
      </c>
      <c r="N77" s="1">
        <v>1866</v>
      </c>
      <c r="O77">
        <v>60</v>
      </c>
      <c r="P77">
        <v>76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77</v>
      </c>
      <c r="AE77">
        <v>100</v>
      </c>
      <c r="AF77">
        <v>0</v>
      </c>
      <c r="AG77" s="1">
        <v>30945</v>
      </c>
      <c r="AH77" s="31">
        <v>401.88</v>
      </c>
      <c r="AI77">
        <v>28.94</v>
      </c>
      <c r="AJ77" s="1">
        <v>1069</v>
      </c>
      <c r="AK77">
        <v>13.89</v>
      </c>
      <c r="AL77" s="1">
        <v>516</v>
      </c>
      <c r="AM77">
        <v>57.2</v>
      </c>
      <c r="AN77" s="1">
        <v>1866</v>
      </c>
      <c r="AO77">
        <v>60</v>
      </c>
      <c r="AP77">
        <v>76</v>
      </c>
      <c r="AQ77">
        <v>191</v>
      </c>
      <c r="AR77">
        <v>16</v>
      </c>
      <c r="AS77">
        <v>256</v>
      </c>
      <c r="AT77" s="1">
        <v>0</v>
      </c>
    </row>
    <row r="78" spans="1:46" x14ac:dyDescent="0.25">
      <c r="A78" s="3" t="s">
        <v>236</v>
      </c>
      <c r="B78" t="s">
        <v>153</v>
      </c>
      <c r="C78" s="2">
        <v>44398</v>
      </c>
      <c r="D78">
        <v>0</v>
      </c>
      <c r="E78">
        <v>0</v>
      </c>
      <c r="F78">
        <v>0</v>
      </c>
      <c r="G78" s="1">
        <v>0</v>
      </c>
      <c r="H78">
        <v>0</v>
      </c>
      <c r="I78">
        <v>0</v>
      </c>
      <c r="J78">
        <v>0</v>
      </c>
      <c r="K78">
        <v>0</v>
      </c>
      <c r="L78" s="1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 s="1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 s="1">
        <v>0</v>
      </c>
      <c r="AH78">
        <v>0</v>
      </c>
      <c r="AI78">
        <v>0</v>
      </c>
      <c r="AJ78">
        <v>0</v>
      </c>
      <c r="AK78">
        <v>0</v>
      </c>
      <c r="AL78" s="1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</row>
    <row r="79" spans="1:46" x14ac:dyDescent="0.25">
      <c r="A79" s="3" t="s">
        <v>248</v>
      </c>
      <c r="B79" t="s">
        <v>352</v>
      </c>
      <c r="C79" s="2">
        <v>44398</v>
      </c>
      <c r="D79">
        <v>27</v>
      </c>
      <c r="E79">
        <v>100</v>
      </c>
      <c r="F79">
        <v>0</v>
      </c>
      <c r="G79" s="1">
        <v>7837</v>
      </c>
      <c r="H79">
        <v>290.26</v>
      </c>
      <c r="I79">
        <v>38.159999999999997</v>
      </c>
      <c r="J79" s="1">
        <v>205</v>
      </c>
      <c r="K79">
        <v>7.61</v>
      </c>
      <c r="L79" s="1"/>
      <c r="M79">
        <v>36.799999999999997</v>
      </c>
      <c r="N79" s="1">
        <v>558</v>
      </c>
      <c r="O79">
        <v>18</v>
      </c>
      <c r="P79">
        <v>26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27</v>
      </c>
      <c r="AE79">
        <v>100</v>
      </c>
      <c r="AF79">
        <v>0</v>
      </c>
      <c r="AG79" s="1">
        <v>7837</v>
      </c>
      <c r="AH79">
        <v>290.26</v>
      </c>
      <c r="AI79">
        <v>38.159999999999997</v>
      </c>
      <c r="AJ79" s="1">
        <v>205</v>
      </c>
      <c r="AK79">
        <v>7.61</v>
      </c>
      <c r="AL79" s="1">
        <v>435</v>
      </c>
      <c r="AM79">
        <v>36.799999999999997</v>
      </c>
      <c r="AN79" s="1">
        <v>558</v>
      </c>
      <c r="AO79">
        <v>18</v>
      </c>
      <c r="AP79">
        <v>26</v>
      </c>
      <c r="AQ79">
        <v>84</v>
      </c>
      <c r="AR79">
        <v>0</v>
      </c>
      <c r="AS79">
        <v>18</v>
      </c>
      <c r="AT79">
        <v>0</v>
      </c>
    </row>
    <row r="80" spans="1:46" x14ac:dyDescent="0.25">
      <c r="A80" s="3" t="s">
        <v>247</v>
      </c>
      <c r="B80" t="s">
        <v>353</v>
      </c>
      <c r="C80" s="2">
        <v>44398</v>
      </c>
      <c r="D80">
        <v>2</v>
      </c>
      <c r="E80">
        <v>100</v>
      </c>
      <c r="F80">
        <v>0</v>
      </c>
      <c r="G80" s="1">
        <v>450</v>
      </c>
      <c r="H80">
        <v>225</v>
      </c>
      <c r="I80">
        <v>15.84</v>
      </c>
      <c r="J80" s="1">
        <v>28</v>
      </c>
      <c r="K80">
        <v>14.21</v>
      </c>
      <c r="L80" s="1"/>
      <c r="M80">
        <v>22.9</v>
      </c>
      <c r="N80" s="1">
        <v>124</v>
      </c>
      <c r="O80">
        <v>4</v>
      </c>
      <c r="P80">
        <v>2</v>
      </c>
      <c r="Q80">
        <v>0</v>
      </c>
      <c r="R80">
        <v>0</v>
      </c>
      <c r="S80">
        <v>0</v>
      </c>
      <c r="T80" s="1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2</v>
      </c>
      <c r="AE80">
        <v>100</v>
      </c>
      <c r="AF80">
        <v>0</v>
      </c>
      <c r="AG80" s="1">
        <v>450</v>
      </c>
      <c r="AH80">
        <v>225</v>
      </c>
      <c r="AI80">
        <v>15.84</v>
      </c>
      <c r="AJ80" s="1">
        <v>28</v>
      </c>
      <c r="AK80">
        <v>14.21</v>
      </c>
      <c r="AL80" s="1">
        <v>113</v>
      </c>
      <c r="AM80">
        <v>22.9</v>
      </c>
      <c r="AN80" s="1">
        <v>124</v>
      </c>
      <c r="AO80">
        <v>4</v>
      </c>
      <c r="AP80">
        <v>2</v>
      </c>
      <c r="AQ80" s="1">
        <v>0</v>
      </c>
      <c r="AR80">
        <v>0</v>
      </c>
      <c r="AS80">
        <v>0</v>
      </c>
      <c r="AT80" s="1">
        <v>0</v>
      </c>
    </row>
    <row r="81" spans="1:46" x14ac:dyDescent="0.25">
      <c r="A81" s="3" t="s">
        <v>244</v>
      </c>
      <c r="B81" t="s">
        <v>354</v>
      </c>
      <c r="C81" s="2">
        <v>44398</v>
      </c>
      <c r="D81">
        <v>198</v>
      </c>
      <c r="E81">
        <v>100</v>
      </c>
      <c r="F81">
        <v>0</v>
      </c>
      <c r="G81" s="1">
        <v>88048</v>
      </c>
      <c r="H81">
        <v>444.69</v>
      </c>
      <c r="I81">
        <v>28.1</v>
      </c>
      <c r="J81" s="1">
        <v>3132</v>
      </c>
      <c r="K81">
        <v>15.82</v>
      </c>
      <c r="L81" s="1"/>
      <c r="M81">
        <v>73.099999999999994</v>
      </c>
      <c r="N81" s="1">
        <v>4285</v>
      </c>
      <c r="O81">
        <v>138</v>
      </c>
      <c r="P81">
        <v>187</v>
      </c>
      <c r="Q81">
        <v>0</v>
      </c>
      <c r="R81">
        <v>0</v>
      </c>
      <c r="S81">
        <v>0</v>
      </c>
      <c r="T81" s="1">
        <v>0</v>
      </c>
      <c r="U81">
        <v>0</v>
      </c>
      <c r="V81">
        <v>0</v>
      </c>
      <c r="W81">
        <v>0</v>
      </c>
      <c r="X81">
        <v>0</v>
      </c>
      <c r="Y81" s="1">
        <v>0</v>
      </c>
      <c r="Z81">
        <v>0</v>
      </c>
      <c r="AA81">
        <v>0</v>
      </c>
      <c r="AB81">
        <v>0</v>
      </c>
      <c r="AC81">
        <v>0</v>
      </c>
      <c r="AD81">
        <v>198</v>
      </c>
      <c r="AE81">
        <v>100</v>
      </c>
      <c r="AF81">
        <v>0</v>
      </c>
      <c r="AG81" s="1">
        <v>88048</v>
      </c>
      <c r="AH81">
        <v>444.69</v>
      </c>
      <c r="AI81">
        <v>28.1</v>
      </c>
      <c r="AJ81" s="1">
        <v>3132</v>
      </c>
      <c r="AK81">
        <v>15.82</v>
      </c>
      <c r="AL81" s="1">
        <v>638</v>
      </c>
      <c r="AM81">
        <v>73.099999999999994</v>
      </c>
      <c r="AN81" s="1">
        <v>4285</v>
      </c>
      <c r="AO81">
        <v>138</v>
      </c>
      <c r="AP81">
        <v>187</v>
      </c>
      <c r="AQ81" s="1">
        <v>127</v>
      </c>
      <c r="AR81">
        <v>0</v>
      </c>
      <c r="AS81" s="1">
        <v>917</v>
      </c>
      <c r="AT81" s="1">
        <v>0</v>
      </c>
    </row>
    <row r="82" spans="1:46" x14ac:dyDescent="0.25">
      <c r="A82" s="3" t="s">
        <v>246</v>
      </c>
      <c r="B82" t="s">
        <v>355</v>
      </c>
      <c r="C82" s="2">
        <v>44398</v>
      </c>
      <c r="D82">
        <v>52</v>
      </c>
      <c r="E82">
        <v>100</v>
      </c>
      <c r="F82">
        <v>0</v>
      </c>
      <c r="G82" s="1">
        <v>9920</v>
      </c>
      <c r="H82">
        <v>190.77</v>
      </c>
      <c r="I82">
        <v>32.83</v>
      </c>
      <c r="J82" s="1">
        <v>302</v>
      </c>
      <c r="K82">
        <v>5.81</v>
      </c>
      <c r="L82" s="1"/>
      <c r="M82">
        <v>53.4</v>
      </c>
      <c r="N82" s="1">
        <v>566</v>
      </c>
      <c r="O82">
        <v>18</v>
      </c>
      <c r="P82">
        <v>55</v>
      </c>
      <c r="Q82">
        <v>0</v>
      </c>
      <c r="R82">
        <v>0</v>
      </c>
      <c r="S82">
        <v>0</v>
      </c>
      <c r="T82" s="1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52</v>
      </c>
      <c r="AE82">
        <v>100</v>
      </c>
      <c r="AF82">
        <v>0</v>
      </c>
      <c r="AG82" s="1">
        <v>9920</v>
      </c>
      <c r="AH82">
        <v>190.77</v>
      </c>
      <c r="AI82">
        <v>32.83</v>
      </c>
      <c r="AJ82" s="1">
        <v>302</v>
      </c>
      <c r="AK82">
        <v>5.81</v>
      </c>
      <c r="AL82" s="1">
        <v>551</v>
      </c>
      <c r="AM82">
        <v>53.3</v>
      </c>
      <c r="AN82" s="1">
        <v>566</v>
      </c>
      <c r="AO82">
        <v>18</v>
      </c>
      <c r="AP82">
        <v>55</v>
      </c>
      <c r="AQ82">
        <v>100</v>
      </c>
      <c r="AR82">
        <v>0</v>
      </c>
      <c r="AS82" s="1">
        <v>291</v>
      </c>
      <c r="AT82" s="1">
        <v>0</v>
      </c>
    </row>
    <row r="83" spans="1:46" x14ac:dyDescent="0.25">
      <c r="A83" s="3" t="s">
        <v>164</v>
      </c>
      <c r="B83" t="s">
        <v>356</v>
      </c>
      <c r="C83" s="2">
        <v>44398</v>
      </c>
      <c r="D83">
        <v>31</v>
      </c>
      <c r="E83">
        <v>100</v>
      </c>
      <c r="F83">
        <v>0</v>
      </c>
      <c r="G83" s="1">
        <v>10806</v>
      </c>
      <c r="H83">
        <v>348.58</v>
      </c>
      <c r="I83">
        <v>25.78</v>
      </c>
      <c r="J83" s="1">
        <v>419</v>
      </c>
      <c r="K83">
        <v>13.52</v>
      </c>
      <c r="L83" s="1"/>
      <c r="M83">
        <v>54</v>
      </c>
      <c r="N83" s="1">
        <v>777</v>
      </c>
      <c r="O83">
        <v>25</v>
      </c>
      <c r="P83">
        <v>24</v>
      </c>
      <c r="Q83">
        <v>0</v>
      </c>
      <c r="R83">
        <v>0</v>
      </c>
      <c r="S83">
        <v>0</v>
      </c>
      <c r="T83" s="1">
        <v>0</v>
      </c>
      <c r="U83" s="31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31</v>
      </c>
      <c r="AE83">
        <v>100</v>
      </c>
      <c r="AF83">
        <v>0</v>
      </c>
      <c r="AG83" s="1">
        <v>10806</v>
      </c>
      <c r="AH83">
        <v>348.58</v>
      </c>
      <c r="AI83">
        <v>25.78</v>
      </c>
      <c r="AJ83" s="1">
        <v>419</v>
      </c>
      <c r="AK83">
        <v>13.52</v>
      </c>
      <c r="AL83" s="1">
        <v>432</v>
      </c>
      <c r="AM83">
        <v>53.9</v>
      </c>
      <c r="AN83" s="1">
        <v>777</v>
      </c>
      <c r="AO83">
        <v>25</v>
      </c>
      <c r="AP83">
        <v>24</v>
      </c>
      <c r="AQ83">
        <v>0</v>
      </c>
      <c r="AR83">
        <v>0</v>
      </c>
      <c r="AS83">
        <v>108</v>
      </c>
      <c r="AT83">
        <v>0</v>
      </c>
    </row>
    <row r="84" spans="1:46" x14ac:dyDescent="0.25">
      <c r="A84" s="3" t="s">
        <v>249</v>
      </c>
      <c r="B84" t="s">
        <v>357</v>
      </c>
      <c r="C84" s="2">
        <v>44398</v>
      </c>
      <c r="D84">
        <v>11</v>
      </c>
      <c r="E84">
        <v>100</v>
      </c>
      <c r="F84">
        <v>0</v>
      </c>
      <c r="G84" s="1">
        <v>4690</v>
      </c>
      <c r="H84" s="31">
        <v>426.36</v>
      </c>
      <c r="I84">
        <v>50.82</v>
      </c>
      <c r="J84">
        <v>92</v>
      </c>
      <c r="K84">
        <v>8.39</v>
      </c>
      <c r="L84" s="1"/>
      <c r="M84">
        <v>44.4</v>
      </c>
      <c r="N84">
        <v>208</v>
      </c>
      <c r="O84">
        <v>7</v>
      </c>
      <c r="P84">
        <v>13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11</v>
      </c>
      <c r="AE84">
        <v>100</v>
      </c>
      <c r="AF84">
        <v>0</v>
      </c>
      <c r="AG84" s="1">
        <v>4690</v>
      </c>
      <c r="AH84" s="31">
        <v>426.36</v>
      </c>
      <c r="AI84">
        <v>50.82</v>
      </c>
      <c r="AJ84">
        <v>92</v>
      </c>
      <c r="AK84">
        <v>8.39</v>
      </c>
      <c r="AL84" s="1">
        <v>670</v>
      </c>
      <c r="AM84">
        <v>44.3</v>
      </c>
      <c r="AN84">
        <v>208</v>
      </c>
      <c r="AO84">
        <v>7</v>
      </c>
      <c r="AP84">
        <v>13</v>
      </c>
      <c r="AQ84">
        <v>17</v>
      </c>
      <c r="AR84">
        <v>0</v>
      </c>
      <c r="AS84">
        <v>176</v>
      </c>
      <c r="AT84">
        <v>0</v>
      </c>
    </row>
    <row r="85" spans="1:46" x14ac:dyDescent="0.25">
      <c r="A85" s="3" t="s">
        <v>243</v>
      </c>
      <c r="B85" t="s">
        <v>170</v>
      </c>
      <c r="C85" s="2">
        <v>44398</v>
      </c>
      <c r="D85">
        <v>11</v>
      </c>
      <c r="E85">
        <v>100</v>
      </c>
      <c r="F85">
        <v>0</v>
      </c>
      <c r="G85" s="1">
        <v>3451</v>
      </c>
      <c r="H85">
        <v>313.73</v>
      </c>
      <c r="I85">
        <v>35.51</v>
      </c>
      <c r="J85">
        <v>97</v>
      </c>
      <c r="K85">
        <v>8.83</v>
      </c>
      <c r="L85" s="1"/>
      <c r="M85">
        <v>71.5</v>
      </c>
      <c r="N85">
        <v>136</v>
      </c>
      <c r="O85">
        <v>4</v>
      </c>
      <c r="P85">
        <v>11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11</v>
      </c>
      <c r="AE85">
        <v>100</v>
      </c>
      <c r="AF85">
        <v>0</v>
      </c>
      <c r="AG85" s="1">
        <v>3451</v>
      </c>
      <c r="AH85">
        <v>313.73</v>
      </c>
      <c r="AI85">
        <v>35.51</v>
      </c>
      <c r="AJ85">
        <v>97</v>
      </c>
      <c r="AK85">
        <v>8.83</v>
      </c>
      <c r="AL85" s="1">
        <v>863</v>
      </c>
      <c r="AM85">
        <v>71.400000000000006</v>
      </c>
      <c r="AN85">
        <v>136</v>
      </c>
      <c r="AO85">
        <v>4</v>
      </c>
      <c r="AP85">
        <v>11</v>
      </c>
      <c r="AQ85">
        <v>49</v>
      </c>
      <c r="AR85">
        <v>16</v>
      </c>
      <c r="AS85">
        <v>138</v>
      </c>
      <c r="AT85">
        <v>0</v>
      </c>
    </row>
    <row r="86" spans="1:46" x14ac:dyDescent="0.25">
      <c r="A86" s="3" t="s">
        <v>245</v>
      </c>
      <c r="B86" t="s">
        <v>358</v>
      </c>
      <c r="C86" s="2">
        <v>44398</v>
      </c>
      <c r="D86">
        <v>10</v>
      </c>
      <c r="E86">
        <v>100</v>
      </c>
      <c r="F86">
        <v>0</v>
      </c>
      <c r="G86" s="1">
        <v>3206</v>
      </c>
      <c r="H86">
        <v>320.60000000000002</v>
      </c>
      <c r="I86">
        <v>28.18</v>
      </c>
      <c r="J86">
        <v>113</v>
      </c>
      <c r="K86">
        <v>11.38</v>
      </c>
      <c r="L86" s="1"/>
      <c r="M86">
        <v>71.099999999999994</v>
      </c>
      <c r="N86" s="1">
        <v>160</v>
      </c>
      <c r="O86">
        <v>5</v>
      </c>
      <c r="P86">
        <v>10</v>
      </c>
      <c r="Q86">
        <v>0</v>
      </c>
      <c r="R86">
        <v>0</v>
      </c>
      <c r="S86">
        <v>0</v>
      </c>
      <c r="T86" s="1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10</v>
      </c>
      <c r="AE86">
        <v>100</v>
      </c>
      <c r="AF86">
        <v>0</v>
      </c>
      <c r="AG86" s="1">
        <v>3206</v>
      </c>
      <c r="AH86">
        <v>320.60000000000002</v>
      </c>
      <c r="AI86">
        <v>28.18</v>
      </c>
      <c r="AJ86" s="1">
        <v>113</v>
      </c>
      <c r="AK86">
        <v>11.38</v>
      </c>
      <c r="AL86" s="1">
        <v>641</v>
      </c>
      <c r="AM86">
        <v>71.099999999999994</v>
      </c>
      <c r="AN86" s="1">
        <v>160</v>
      </c>
      <c r="AO86">
        <v>5</v>
      </c>
      <c r="AP86">
        <v>10</v>
      </c>
      <c r="AQ86">
        <v>32</v>
      </c>
      <c r="AR86">
        <v>32</v>
      </c>
      <c r="AS86" s="1">
        <v>181</v>
      </c>
      <c r="AT86" s="1">
        <v>0</v>
      </c>
    </row>
    <row r="87" spans="1:46" x14ac:dyDescent="0.25">
      <c r="A87" s="3" t="s">
        <v>82</v>
      </c>
      <c r="B87" t="s">
        <v>359</v>
      </c>
      <c r="C87" s="2">
        <v>44398</v>
      </c>
      <c r="D87">
        <v>0</v>
      </c>
      <c r="E87">
        <v>0</v>
      </c>
      <c r="F87">
        <v>0</v>
      </c>
      <c r="G87" s="1">
        <v>0</v>
      </c>
      <c r="H87">
        <v>0</v>
      </c>
      <c r="I87">
        <v>0</v>
      </c>
      <c r="J87">
        <v>0</v>
      </c>
      <c r="K87">
        <v>0</v>
      </c>
      <c r="M87">
        <v>0</v>
      </c>
      <c r="N87" s="1">
        <v>1742</v>
      </c>
      <c r="O87">
        <v>56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 s="1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 s="1">
        <v>1742</v>
      </c>
      <c r="AO87">
        <v>56</v>
      </c>
      <c r="AP87">
        <v>0</v>
      </c>
      <c r="AQ87">
        <v>0</v>
      </c>
      <c r="AR87">
        <v>0</v>
      </c>
      <c r="AS87">
        <v>0</v>
      </c>
      <c r="AT87">
        <v>0</v>
      </c>
    </row>
    <row r="88" spans="1:46" x14ac:dyDescent="0.25">
      <c r="A88" s="3" t="s">
        <v>84</v>
      </c>
      <c r="B88" t="s">
        <v>360</v>
      </c>
      <c r="C88" s="2">
        <v>44398</v>
      </c>
      <c r="D88">
        <v>0</v>
      </c>
      <c r="E88">
        <v>0</v>
      </c>
      <c r="F88">
        <v>0</v>
      </c>
      <c r="G88" s="1">
        <v>0</v>
      </c>
      <c r="H88">
        <v>0</v>
      </c>
      <c r="I88">
        <v>0</v>
      </c>
      <c r="J88">
        <v>0</v>
      </c>
      <c r="K88">
        <v>0</v>
      </c>
      <c r="M88">
        <v>0</v>
      </c>
      <c r="N88" s="1">
        <v>8936</v>
      </c>
      <c r="O88" s="1">
        <v>288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31</v>
      </c>
      <c r="AB88">
        <v>1</v>
      </c>
      <c r="AC88">
        <v>0</v>
      </c>
      <c r="AD88">
        <v>0</v>
      </c>
      <c r="AE88">
        <v>0</v>
      </c>
      <c r="AF88">
        <v>0</v>
      </c>
      <c r="AG88" s="1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 s="1">
        <v>8967</v>
      </c>
      <c r="AO88" s="1">
        <v>289</v>
      </c>
      <c r="AP88">
        <v>0</v>
      </c>
      <c r="AQ88">
        <v>0</v>
      </c>
      <c r="AR88">
        <v>0</v>
      </c>
      <c r="AS88">
        <v>0</v>
      </c>
      <c r="AT88">
        <v>0</v>
      </c>
    </row>
    <row r="89" spans="1:46" x14ac:dyDescent="0.25">
      <c r="A89" s="3" t="s">
        <v>87</v>
      </c>
      <c r="B89" t="s">
        <v>361</v>
      </c>
      <c r="C89" s="2">
        <v>44398</v>
      </c>
      <c r="D89">
        <v>0</v>
      </c>
      <c r="E89">
        <v>0</v>
      </c>
      <c r="F89">
        <v>0</v>
      </c>
      <c r="G89" s="1">
        <v>0</v>
      </c>
      <c r="H89">
        <v>0</v>
      </c>
      <c r="I89">
        <v>0</v>
      </c>
      <c r="J89">
        <v>0</v>
      </c>
      <c r="K89">
        <v>0</v>
      </c>
      <c r="M89">
        <v>0</v>
      </c>
      <c r="N89" s="1">
        <v>17410</v>
      </c>
      <c r="O89" s="1">
        <v>562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 s="1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 s="1">
        <v>17410</v>
      </c>
      <c r="AO89" s="1">
        <v>562</v>
      </c>
      <c r="AP89">
        <v>0</v>
      </c>
      <c r="AQ89">
        <v>0</v>
      </c>
      <c r="AR89">
        <v>0</v>
      </c>
      <c r="AS89">
        <v>0</v>
      </c>
      <c r="AT89">
        <v>0</v>
      </c>
    </row>
    <row r="90" spans="1:46" x14ac:dyDescent="0.25">
      <c r="A90" s="3" t="s">
        <v>90</v>
      </c>
      <c r="B90" t="s">
        <v>362</v>
      </c>
      <c r="C90" s="2">
        <v>44398</v>
      </c>
      <c r="D90">
        <v>0</v>
      </c>
      <c r="E90">
        <v>0</v>
      </c>
      <c r="F90">
        <v>0</v>
      </c>
      <c r="G90" s="1">
        <v>0</v>
      </c>
      <c r="H90">
        <v>0</v>
      </c>
      <c r="I90">
        <v>0</v>
      </c>
      <c r="J90">
        <v>0</v>
      </c>
      <c r="K90">
        <v>0</v>
      </c>
      <c r="M90">
        <v>0</v>
      </c>
      <c r="N90" s="1">
        <v>3762</v>
      </c>
      <c r="O90">
        <v>121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 s="1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 s="1">
        <v>3762</v>
      </c>
      <c r="AO90">
        <v>121</v>
      </c>
      <c r="AP90">
        <v>0</v>
      </c>
      <c r="AQ90">
        <v>0</v>
      </c>
      <c r="AR90">
        <v>0</v>
      </c>
      <c r="AS90">
        <v>0</v>
      </c>
      <c r="AT90">
        <v>0</v>
      </c>
    </row>
    <row r="91" spans="1:46" x14ac:dyDescent="0.25">
      <c r="A91" s="3" t="s">
        <v>93</v>
      </c>
      <c r="B91" t="s">
        <v>363</v>
      </c>
      <c r="C91" s="2">
        <v>44398</v>
      </c>
      <c r="D91">
        <v>0</v>
      </c>
      <c r="E91">
        <v>0</v>
      </c>
      <c r="F91">
        <v>0</v>
      </c>
      <c r="G91" s="1">
        <v>0</v>
      </c>
      <c r="H91">
        <v>0</v>
      </c>
      <c r="I91">
        <v>0</v>
      </c>
      <c r="J91">
        <v>0</v>
      </c>
      <c r="K91">
        <v>0</v>
      </c>
      <c r="M91">
        <v>0</v>
      </c>
      <c r="N91" s="1">
        <v>9726</v>
      </c>
      <c r="O91">
        <v>314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 s="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 s="1">
        <v>9726</v>
      </c>
      <c r="AO91">
        <v>314</v>
      </c>
      <c r="AP91">
        <v>0</v>
      </c>
      <c r="AQ91">
        <v>0</v>
      </c>
      <c r="AR91">
        <v>0</v>
      </c>
      <c r="AS91">
        <v>0</v>
      </c>
      <c r="AT91">
        <v>0</v>
      </c>
    </row>
    <row r="92" spans="1:46" x14ac:dyDescent="0.25">
      <c r="A92" s="3" t="s">
        <v>96</v>
      </c>
      <c r="B92" t="s">
        <v>364</v>
      </c>
      <c r="C92" s="2">
        <v>44398</v>
      </c>
      <c r="D92">
        <v>0</v>
      </c>
      <c r="E92">
        <v>0</v>
      </c>
      <c r="F92">
        <v>0</v>
      </c>
      <c r="G92" s="1">
        <v>0</v>
      </c>
      <c r="H92">
        <v>0</v>
      </c>
      <c r="I92">
        <v>0</v>
      </c>
      <c r="J92" s="1">
        <v>0</v>
      </c>
      <c r="K92">
        <v>0</v>
      </c>
      <c r="M92">
        <v>0</v>
      </c>
      <c r="N92" s="1">
        <v>305</v>
      </c>
      <c r="O92">
        <v>10</v>
      </c>
      <c r="P92">
        <v>0</v>
      </c>
      <c r="Q92">
        <v>0</v>
      </c>
      <c r="R92">
        <v>0</v>
      </c>
      <c r="S92">
        <v>0</v>
      </c>
      <c r="T92" s="1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 s="1">
        <v>0</v>
      </c>
      <c r="AH92">
        <v>0</v>
      </c>
      <c r="AI92">
        <v>0</v>
      </c>
      <c r="AJ92" s="1">
        <v>0</v>
      </c>
      <c r="AK92">
        <v>0</v>
      </c>
      <c r="AL92">
        <v>0</v>
      </c>
      <c r="AM92">
        <v>0</v>
      </c>
      <c r="AN92" s="1">
        <v>305</v>
      </c>
      <c r="AO92">
        <v>10</v>
      </c>
      <c r="AP92">
        <v>0</v>
      </c>
      <c r="AQ92">
        <v>0</v>
      </c>
      <c r="AR92">
        <v>0</v>
      </c>
      <c r="AS92">
        <v>0</v>
      </c>
      <c r="AT92" s="1">
        <v>0</v>
      </c>
    </row>
    <row r="93" spans="1:46" x14ac:dyDescent="0.25">
      <c r="A93" s="3" t="s">
        <v>207</v>
      </c>
      <c r="B93" t="s">
        <v>365</v>
      </c>
      <c r="C93" s="2">
        <v>44398</v>
      </c>
      <c r="D93">
        <v>0</v>
      </c>
      <c r="E93">
        <v>0</v>
      </c>
      <c r="F93">
        <v>0</v>
      </c>
      <c r="G93" s="1">
        <v>0</v>
      </c>
      <c r="H93">
        <v>0</v>
      </c>
      <c r="I93">
        <v>0</v>
      </c>
      <c r="J93">
        <v>0</v>
      </c>
      <c r="K93">
        <v>0</v>
      </c>
      <c r="M93">
        <v>0</v>
      </c>
      <c r="N93" s="1">
        <v>1645</v>
      </c>
      <c r="O93">
        <v>53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 s="1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 s="1">
        <v>1645</v>
      </c>
      <c r="AO93">
        <v>53</v>
      </c>
      <c r="AP93">
        <v>0</v>
      </c>
      <c r="AQ93">
        <v>0</v>
      </c>
      <c r="AR93">
        <v>0</v>
      </c>
      <c r="AS93">
        <v>0</v>
      </c>
      <c r="AT93">
        <v>0</v>
      </c>
    </row>
    <row r="94" spans="1:46" x14ac:dyDescent="0.25">
      <c r="A94" s="3" t="s">
        <v>208</v>
      </c>
      <c r="B94" t="s">
        <v>366</v>
      </c>
      <c r="C94" s="2">
        <v>44398</v>
      </c>
      <c r="D94">
        <v>0</v>
      </c>
      <c r="E94">
        <v>0</v>
      </c>
      <c r="F94">
        <v>0</v>
      </c>
      <c r="G94" s="1">
        <v>0</v>
      </c>
      <c r="H94">
        <v>0</v>
      </c>
      <c r="I94">
        <v>0</v>
      </c>
      <c r="J94" s="1">
        <v>0</v>
      </c>
      <c r="K94">
        <v>0</v>
      </c>
      <c r="M94">
        <v>0</v>
      </c>
      <c r="N94" s="1">
        <v>1495</v>
      </c>
      <c r="O94">
        <v>48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 s="1">
        <v>0</v>
      </c>
      <c r="AH94">
        <v>0</v>
      </c>
      <c r="AI94">
        <v>0</v>
      </c>
      <c r="AJ94" s="1">
        <v>0</v>
      </c>
      <c r="AK94">
        <v>0</v>
      </c>
      <c r="AL94">
        <v>0</v>
      </c>
      <c r="AM94">
        <v>0</v>
      </c>
      <c r="AN94" s="1">
        <v>1495</v>
      </c>
      <c r="AO94">
        <v>48</v>
      </c>
      <c r="AP94">
        <v>0</v>
      </c>
      <c r="AQ94">
        <v>0</v>
      </c>
      <c r="AR94">
        <v>0</v>
      </c>
      <c r="AS94">
        <v>0</v>
      </c>
      <c r="AT94">
        <v>0</v>
      </c>
    </row>
    <row r="95" spans="1:46" x14ac:dyDescent="0.25">
      <c r="A95" s="3" t="s">
        <v>209</v>
      </c>
      <c r="B95" t="s">
        <v>367</v>
      </c>
      <c r="C95" s="2">
        <v>44398</v>
      </c>
      <c r="D95">
        <v>0</v>
      </c>
      <c r="E95">
        <v>0</v>
      </c>
      <c r="F95">
        <v>0</v>
      </c>
      <c r="G95" s="1">
        <v>0</v>
      </c>
      <c r="H95">
        <v>0</v>
      </c>
      <c r="I95">
        <v>0</v>
      </c>
      <c r="J95">
        <v>0</v>
      </c>
      <c r="K95">
        <v>0</v>
      </c>
      <c r="M95">
        <v>0</v>
      </c>
      <c r="N95" s="1">
        <v>1275</v>
      </c>
      <c r="O95">
        <v>41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 s="1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 s="1">
        <v>1275</v>
      </c>
      <c r="AO95">
        <v>41</v>
      </c>
      <c r="AP95">
        <v>0</v>
      </c>
      <c r="AQ95">
        <v>0</v>
      </c>
      <c r="AR95">
        <v>0</v>
      </c>
      <c r="AS95">
        <v>0</v>
      </c>
      <c r="AT95" s="1">
        <v>0</v>
      </c>
    </row>
    <row r="96" spans="1:46" x14ac:dyDescent="0.25">
      <c r="A96" s="3" t="s">
        <v>211</v>
      </c>
      <c r="B96" t="s">
        <v>368</v>
      </c>
      <c r="C96" s="2">
        <v>44398</v>
      </c>
      <c r="D96">
        <v>0</v>
      </c>
      <c r="E96">
        <v>0</v>
      </c>
      <c r="F96">
        <v>0</v>
      </c>
      <c r="G96" s="1">
        <v>0</v>
      </c>
      <c r="H96">
        <v>0</v>
      </c>
      <c r="I96">
        <v>0</v>
      </c>
      <c r="J96">
        <v>0</v>
      </c>
      <c r="K96">
        <v>0</v>
      </c>
      <c r="M96">
        <v>0</v>
      </c>
      <c r="N96" s="1">
        <v>748</v>
      </c>
      <c r="O96">
        <v>24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 s="1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 s="1">
        <v>748</v>
      </c>
      <c r="AO96">
        <v>24</v>
      </c>
      <c r="AP96">
        <v>0</v>
      </c>
      <c r="AQ96">
        <v>0</v>
      </c>
      <c r="AR96">
        <v>0</v>
      </c>
      <c r="AS96">
        <v>0</v>
      </c>
      <c r="AT96">
        <v>0</v>
      </c>
    </row>
    <row r="97" spans="1:46" x14ac:dyDescent="0.25">
      <c r="A97" s="3" t="s">
        <v>99</v>
      </c>
      <c r="B97" t="s">
        <v>369</v>
      </c>
      <c r="C97" s="2">
        <v>44398</v>
      </c>
      <c r="D97">
        <v>0</v>
      </c>
      <c r="E97">
        <v>0</v>
      </c>
      <c r="F97">
        <v>0</v>
      </c>
      <c r="G97" s="1">
        <v>0</v>
      </c>
      <c r="H97">
        <v>0</v>
      </c>
      <c r="I97">
        <v>0</v>
      </c>
      <c r="J97">
        <v>0</v>
      </c>
      <c r="K97">
        <v>0</v>
      </c>
      <c r="M97">
        <v>0</v>
      </c>
      <c r="N97" s="1">
        <v>35586</v>
      </c>
      <c r="O97">
        <v>1148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 s="1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 s="1">
        <v>35586</v>
      </c>
      <c r="AO97">
        <v>1148</v>
      </c>
      <c r="AP97">
        <v>0</v>
      </c>
      <c r="AQ97">
        <v>0</v>
      </c>
      <c r="AR97">
        <v>0</v>
      </c>
      <c r="AS97">
        <v>0</v>
      </c>
      <c r="AT97">
        <v>0</v>
      </c>
    </row>
    <row r="98" spans="1:46" x14ac:dyDescent="0.25">
      <c r="A98" s="3" t="s">
        <v>253</v>
      </c>
      <c r="B98" t="s">
        <v>374</v>
      </c>
      <c r="C98" s="2">
        <v>44398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M98">
        <v>0</v>
      </c>
      <c r="N98" s="1">
        <v>2118</v>
      </c>
      <c r="O98">
        <v>68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 s="1">
        <v>2118</v>
      </c>
      <c r="AO98">
        <v>68</v>
      </c>
      <c r="AP98">
        <v>0</v>
      </c>
      <c r="AQ98">
        <v>0</v>
      </c>
      <c r="AR98">
        <v>0</v>
      </c>
      <c r="AS98">
        <v>0</v>
      </c>
      <c r="AT98">
        <v>0</v>
      </c>
    </row>
    <row r="99" spans="1:46" x14ac:dyDescent="0.25">
      <c r="A99" s="3" t="s">
        <v>380</v>
      </c>
      <c r="B99" t="s">
        <v>385</v>
      </c>
      <c r="C99" s="2">
        <v>44398</v>
      </c>
      <c r="D99">
        <v>128</v>
      </c>
      <c r="E99">
        <v>96.8</v>
      </c>
      <c r="F99">
        <v>3.2</v>
      </c>
      <c r="G99" s="1">
        <v>30730</v>
      </c>
      <c r="H99">
        <v>240.08</v>
      </c>
      <c r="I99">
        <v>30.8</v>
      </c>
      <c r="J99">
        <v>997</v>
      </c>
      <c r="K99">
        <v>7.8</v>
      </c>
      <c r="M99">
        <v>74.5</v>
      </c>
      <c r="N99">
        <v>1340</v>
      </c>
      <c r="O99">
        <v>43</v>
      </c>
      <c r="P99">
        <v>133</v>
      </c>
      <c r="Q99">
        <v>15</v>
      </c>
      <c r="R99">
        <v>40</v>
      </c>
      <c r="S99">
        <v>60</v>
      </c>
      <c r="T99">
        <v>2118</v>
      </c>
      <c r="U99">
        <v>141.19999999999999</v>
      </c>
      <c r="V99">
        <v>52.24</v>
      </c>
      <c r="W99">
        <v>40</v>
      </c>
      <c r="X99">
        <v>2.7</v>
      </c>
      <c r="Y99">
        <v>706</v>
      </c>
      <c r="Z99">
        <v>44.5</v>
      </c>
      <c r="AA99">
        <v>91</v>
      </c>
      <c r="AB99">
        <v>3</v>
      </c>
      <c r="AC99">
        <v>14</v>
      </c>
      <c r="AD99">
        <v>143</v>
      </c>
      <c r="AE99">
        <v>90.9</v>
      </c>
      <c r="AF99">
        <v>9.1</v>
      </c>
      <c r="AG99" s="1">
        <v>32848</v>
      </c>
      <c r="AH99">
        <v>229.71</v>
      </c>
      <c r="AI99">
        <v>31.64</v>
      </c>
      <c r="AJ99">
        <v>1038</v>
      </c>
      <c r="AK99">
        <v>7.26</v>
      </c>
      <c r="AL99">
        <v>714</v>
      </c>
      <c r="AM99">
        <v>72.5</v>
      </c>
      <c r="AN99">
        <v>1431</v>
      </c>
      <c r="AO99">
        <v>46</v>
      </c>
      <c r="AP99">
        <v>147</v>
      </c>
      <c r="AQ99">
        <v>963</v>
      </c>
      <c r="AR99">
        <v>3</v>
      </c>
      <c r="AS99">
        <v>1161</v>
      </c>
      <c r="AT99">
        <v>994</v>
      </c>
    </row>
    <row r="100" spans="1:46" x14ac:dyDescent="0.25">
      <c r="A100" s="3" t="s">
        <v>381</v>
      </c>
      <c r="B100" t="s">
        <v>386</v>
      </c>
      <c r="C100" s="2">
        <v>44398</v>
      </c>
      <c r="D100">
        <v>70</v>
      </c>
      <c r="E100">
        <v>100</v>
      </c>
      <c r="F100">
        <v>0</v>
      </c>
      <c r="G100">
        <v>18525</v>
      </c>
      <c r="H100">
        <v>264.64</v>
      </c>
      <c r="I100">
        <v>35.78</v>
      </c>
      <c r="J100">
        <v>517</v>
      </c>
      <c r="K100">
        <v>7.4</v>
      </c>
      <c r="M100">
        <v>95.5</v>
      </c>
      <c r="N100">
        <v>542</v>
      </c>
      <c r="O100">
        <v>17</v>
      </c>
      <c r="P100">
        <v>67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0</v>
      </c>
      <c r="AC100">
        <v>0</v>
      </c>
      <c r="AD100">
        <v>70</v>
      </c>
      <c r="AE100">
        <v>100</v>
      </c>
      <c r="AF100">
        <v>0</v>
      </c>
      <c r="AG100">
        <v>18525</v>
      </c>
      <c r="AH100">
        <v>264.64</v>
      </c>
      <c r="AI100">
        <v>35.78</v>
      </c>
      <c r="AJ100">
        <v>517</v>
      </c>
      <c r="AK100">
        <v>7.4</v>
      </c>
      <c r="AL100">
        <v>1029</v>
      </c>
      <c r="AM100">
        <v>95.3</v>
      </c>
      <c r="AN100">
        <v>543</v>
      </c>
      <c r="AO100">
        <v>18</v>
      </c>
      <c r="AP100">
        <v>67</v>
      </c>
      <c r="AQ100">
        <v>953</v>
      </c>
      <c r="AR100">
        <v>0</v>
      </c>
      <c r="AS100">
        <v>0</v>
      </c>
      <c r="AT100">
        <v>0</v>
      </c>
    </row>
  </sheetData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C33"/>
  <sheetViews>
    <sheetView workbookViewId="0">
      <selection activeCell="E21" sqref="E21"/>
    </sheetView>
  </sheetViews>
  <sheetFormatPr baseColWidth="10" defaultRowHeight="15" x14ac:dyDescent="0.25"/>
  <sheetData>
    <row r="1" spans="1:3" x14ac:dyDescent="0.25">
      <c r="A1" s="35">
        <v>2021</v>
      </c>
      <c r="B1" s="35">
        <v>2022</v>
      </c>
    </row>
    <row r="2" spans="1:3" x14ac:dyDescent="0.25">
      <c r="A2" s="46">
        <v>1</v>
      </c>
      <c r="B2" s="46">
        <v>1</v>
      </c>
    </row>
    <row r="3" spans="1:3" x14ac:dyDescent="0.25">
      <c r="A3" s="46">
        <v>2</v>
      </c>
      <c r="B3" s="46">
        <v>2</v>
      </c>
      <c r="C3" s="12"/>
    </row>
    <row r="4" spans="1:3" x14ac:dyDescent="0.25">
      <c r="A4" s="46">
        <v>3</v>
      </c>
      <c r="B4" s="53" t="s">
        <v>387</v>
      </c>
      <c r="C4" s="12"/>
    </row>
    <row r="5" spans="1:3" x14ac:dyDescent="0.25">
      <c r="A5" s="47">
        <v>4</v>
      </c>
      <c r="B5" s="45">
        <v>4</v>
      </c>
      <c r="C5" s="12"/>
    </row>
    <row r="6" spans="1:3" x14ac:dyDescent="0.25">
      <c r="A6" s="46">
        <v>5</v>
      </c>
      <c r="B6" s="45">
        <v>5</v>
      </c>
      <c r="C6" s="12"/>
    </row>
    <row r="7" spans="1:3" x14ac:dyDescent="0.25">
      <c r="A7" s="46">
        <v>6</v>
      </c>
      <c r="B7" s="45">
        <v>6</v>
      </c>
      <c r="C7" s="12"/>
    </row>
    <row r="8" spans="1:3" x14ac:dyDescent="0.25">
      <c r="A8" s="46">
        <v>7</v>
      </c>
      <c r="B8" s="45">
        <v>7</v>
      </c>
    </row>
    <row r="9" spans="1:3" x14ac:dyDescent="0.25">
      <c r="A9" s="46">
        <v>8</v>
      </c>
      <c r="B9" s="46">
        <v>8</v>
      </c>
    </row>
    <row r="10" spans="1:3" x14ac:dyDescent="0.25">
      <c r="A10" s="46">
        <v>9</v>
      </c>
      <c r="B10" s="46">
        <v>9</v>
      </c>
    </row>
    <row r="11" spans="1:3" x14ac:dyDescent="0.25">
      <c r="A11" s="46">
        <v>10</v>
      </c>
      <c r="B11" s="53">
        <v>10</v>
      </c>
    </row>
    <row r="12" spans="1:3" x14ac:dyDescent="0.25">
      <c r="A12" s="47">
        <v>11</v>
      </c>
      <c r="B12" s="45">
        <v>11</v>
      </c>
    </row>
    <row r="13" spans="1:3" x14ac:dyDescent="0.25">
      <c r="A13" s="46">
        <v>12</v>
      </c>
      <c r="B13" s="45">
        <v>12</v>
      </c>
    </row>
    <row r="14" spans="1:3" x14ac:dyDescent="0.25">
      <c r="A14" s="46">
        <v>13</v>
      </c>
      <c r="B14" s="46">
        <v>13</v>
      </c>
    </row>
    <row r="15" spans="1:3" x14ac:dyDescent="0.25">
      <c r="A15" s="47">
        <v>14</v>
      </c>
      <c r="B15" s="53">
        <v>14</v>
      </c>
    </row>
    <row r="16" spans="1:3" x14ac:dyDescent="0.25">
      <c r="A16" s="46">
        <v>15</v>
      </c>
      <c r="B16" s="45">
        <v>15</v>
      </c>
    </row>
    <row r="17" spans="1:2" x14ac:dyDescent="0.25">
      <c r="A17" s="46">
        <v>16</v>
      </c>
      <c r="B17" s="46">
        <v>16</v>
      </c>
    </row>
    <row r="18" spans="1:2" x14ac:dyDescent="0.25">
      <c r="A18" s="46">
        <v>17</v>
      </c>
      <c r="B18" s="53">
        <v>17</v>
      </c>
    </row>
    <row r="19" spans="1:2" x14ac:dyDescent="0.25">
      <c r="A19" s="47">
        <v>18</v>
      </c>
      <c r="B19" s="45">
        <v>18</v>
      </c>
    </row>
    <row r="20" spans="1:2" x14ac:dyDescent="0.25">
      <c r="A20" s="46">
        <v>19</v>
      </c>
      <c r="B20" s="45">
        <v>19</v>
      </c>
    </row>
    <row r="21" spans="1:2" x14ac:dyDescent="0.25">
      <c r="A21" s="46">
        <v>20</v>
      </c>
      <c r="B21" s="45">
        <v>20</v>
      </c>
    </row>
    <row r="22" spans="1:2" x14ac:dyDescent="0.25">
      <c r="A22" s="46">
        <v>21</v>
      </c>
      <c r="B22" s="45">
        <v>21</v>
      </c>
    </row>
    <row r="23" spans="1:2" x14ac:dyDescent="0.25">
      <c r="A23" s="46">
        <v>22</v>
      </c>
      <c r="B23" s="45">
        <v>22</v>
      </c>
    </row>
    <row r="24" spans="1:2" x14ac:dyDescent="0.25">
      <c r="A24" s="46">
        <v>23</v>
      </c>
      <c r="B24" s="46">
        <v>23</v>
      </c>
    </row>
    <row r="25" spans="1:2" x14ac:dyDescent="0.25">
      <c r="A25" s="46">
        <v>24</v>
      </c>
      <c r="B25" s="47">
        <v>24</v>
      </c>
    </row>
    <row r="26" spans="1:2" x14ac:dyDescent="0.25">
      <c r="A26" s="47">
        <v>25</v>
      </c>
      <c r="B26" s="45">
        <v>25</v>
      </c>
    </row>
    <row r="27" spans="1:2" x14ac:dyDescent="0.25">
      <c r="A27" s="46">
        <v>26</v>
      </c>
      <c r="B27" s="45">
        <v>26</v>
      </c>
    </row>
    <row r="28" spans="1:2" x14ac:dyDescent="0.25">
      <c r="A28" s="46">
        <v>27</v>
      </c>
      <c r="B28" s="45">
        <v>27</v>
      </c>
    </row>
    <row r="29" spans="1:2" x14ac:dyDescent="0.25">
      <c r="A29" s="45">
        <v>28</v>
      </c>
      <c r="B29" s="45">
        <v>28</v>
      </c>
    </row>
    <row r="30" spans="1:2" x14ac:dyDescent="0.25">
      <c r="A30" s="46" t="s">
        <v>390</v>
      </c>
      <c r="B30" s="46" t="s">
        <v>390</v>
      </c>
    </row>
    <row r="31" spans="1:2" x14ac:dyDescent="0.25">
      <c r="A31" s="45" t="s">
        <v>391</v>
      </c>
      <c r="B31" s="45" t="s">
        <v>391</v>
      </c>
    </row>
    <row r="32" spans="1:2" x14ac:dyDescent="0.25">
      <c r="A32" s="45" t="s">
        <v>392</v>
      </c>
      <c r="B32" s="53" t="s">
        <v>392</v>
      </c>
    </row>
    <row r="33" spans="1:2" x14ac:dyDescent="0.25">
      <c r="A33" s="12"/>
      <c r="B33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4</vt:i4>
      </vt:variant>
    </vt:vector>
  </HeadingPairs>
  <TitlesOfParts>
    <vt:vector size="12" baseType="lpstr">
      <vt:lpstr>Codes_agences</vt:lpstr>
      <vt:lpstr>VP</vt:lpstr>
      <vt:lpstr>VU</vt:lpstr>
      <vt:lpstr>CUMUL</vt:lpstr>
      <vt:lpstr>CALCUL_DATE</vt:lpstr>
      <vt:lpstr>Resultats</vt:lpstr>
      <vt:lpstr>Resultats_N1</vt:lpstr>
      <vt:lpstr>couleurs_dates</vt:lpstr>
      <vt:lpstr>CUMUL!Impression_des_titres</vt:lpstr>
      <vt:lpstr>VP!Impression_des_titres</vt:lpstr>
      <vt:lpstr>VU!Impression_des_titres</vt:lpstr>
      <vt:lpstr>VP!Zone_d_impression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Gilles LAMOUR</dc:creator>
  <cp:lastModifiedBy>Sinxay Souvannavong</cp:lastModifiedBy>
  <cp:lastPrinted>2020-01-16T10:54:19Z</cp:lastPrinted>
  <dcterms:created xsi:type="dcterms:W3CDTF">2017-11-09T07:55:57Z</dcterms:created>
  <dcterms:modified xsi:type="dcterms:W3CDTF">2022-07-29T07:25:04Z</dcterms:modified>
</cp:coreProperties>
</file>